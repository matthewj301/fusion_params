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M Master Parameters" sheetId="1" state="visible" r:id="rId1"/>
    <sheet xmlns:r="http://schemas.openxmlformats.org/officeDocument/2006/relationships" name="Machine Calibration Log" sheetId="2" state="visible" r:id="rId2"/>
    <sheet xmlns:r="http://schemas.openxmlformats.org/officeDocument/2006/relationships" name="Quick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AAAAA"/>
      <sz val="8"/>
    </font>
    <font>
      <name val="Arial"/>
      <b val="1"/>
      <color rgb="00FFFFFF"/>
      <sz val="9"/>
    </font>
    <font>
      <name val="Arial"/>
      <b val="1"/>
      <color rgb="00E94560"/>
      <sz val="9"/>
    </font>
    <font>
      <name val="Consolas"/>
      <b val="1"/>
      <color rgb="000000CC"/>
      <sz val="8"/>
    </font>
    <font>
      <name val="Consolas"/>
      <b val="1"/>
      <color rgb="000000CC"/>
      <sz val="9"/>
    </font>
    <font>
      <name val="Arial"/>
      <color rgb="00666666"/>
      <sz val="8"/>
    </font>
    <font>
      <name val="Arial"/>
      <color rgb="00555555"/>
      <sz val="8"/>
    </font>
    <font>
      <name val="Consolas"/>
      <color rgb="001A6600"/>
      <sz val="8"/>
    </font>
    <font>
      <name val="Arial"/>
      <b val="1"/>
      <color rgb="00FFFFFF"/>
      <sz val="12"/>
    </font>
    <font>
      <name val="Arial"/>
      <b val="1"/>
      <color rgb="00E94560"/>
      <sz val="8"/>
    </font>
    <font>
      <name val="Arial"/>
      <b val="1"/>
      <color rgb="00000000"/>
      <sz val="8"/>
    </font>
    <font>
      <name val="Arial"/>
      <b val="1"/>
      <color rgb="00FFFFFF"/>
      <sz val="8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6B"/>
      </patternFill>
    </fill>
    <fill>
      <patternFill patternType="solid">
        <fgColor rgb="0016213E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0FB"/>
      </patternFill>
    </fill>
    <fill>
      <patternFill patternType="solid">
        <fgColor rgb="00F5F0FF"/>
      </patternFill>
    </fill>
    <fill>
      <patternFill patternType="solid">
        <fgColor rgb="00FFF8F0"/>
      </patternFill>
    </fill>
    <fill>
      <patternFill patternType="solid">
        <fgColor rgb="00FFF0F3"/>
      </patternFill>
    </fill>
    <fill>
      <patternFill patternType="solid">
        <fgColor rgb="00F0FFF0"/>
      </patternFill>
    </fill>
    <fill>
      <patternFill patternType="solid">
        <fgColor rgb="00F0F4FF"/>
      </patternFill>
    </fill>
    <fill>
      <patternFill patternType="solid">
        <fgColor rgb="00F5FFE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8" customWidth="1" min="3" max="3"/>
    <col width="52" customWidth="1" min="4" max="4"/>
    <col width="30" customWidth="1" min="5" max="5"/>
  </cols>
  <sheetData>
    <row r="1" ht="36" customHeight="1">
      <c r="A1" s="1" t="inlineStr">
        <is>
          <t>🔩  Fusion 360 — BakedBean3D Master Parameters  (v3 — full build)</t>
        </is>
      </c>
    </row>
    <row r="2" ht="16" customHeight="1">
      <c r="A2" s="2" t="inlineStr">
        <is>
          <t>K3 / V-Core 3.1 AWD / BabyBelt / Doomcube  |  Blue = editable input  |  Green = derived expression  |  ⚠ = must calibrate per machine  |  Yellow BG = machine-specific</t>
        </is>
      </c>
    </row>
    <row r="3" ht="22" customHeight="1">
      <c r="A3" s="3" t="inlineStr">
        <is>
          <t>Parameter Name (Fusion-safe)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Description &amp; Usage Notes</t>
        </is>
      </c>
      <c r="E3" s="3" t="inlineStr">
        <is>
          <t>Fusion 360 Expression</t>
        </is>
      </c>
    </row>
    <row r="4" ht="18" customHeight="1">
      <c r="A4" s="4" t="inlineStr">
        <is>
          <t>🖨️  PRINTER ACCURACY  —  measure and calibrate per machine before use</t>
        </is>
      </c>
      <c r="B4" s="49" t="n"/>
      <c r="C4" s="49" t="n"/>
      <c r="D4" s="49" t="n"/>
      <c r="E4" s="50" t="n"/>
    </row>
    <row r="5" ht="44" customHeight="1">
      <c r="A5" s="5" t="inlineStr">
        <is>
          <t>⚠ printer_accuracy_hole_shrink_compensation</t>
        </is>
      </c>
      <c r="B5" s="6" t="inlineStr">
        <is>
          <t>0.15</t>
        </is>
      </c>
      <c r="C5" s="7" t="inlineStr">
        <is>
          <t>mm</t>
        </is>
      </c>
      <c r="D5" s="8" t="inlineStr">
        <is>
          <t>FDM holes always print smaller than modeled due to filament expansion and layer resolution. Add to all hole sketch diameters or apply via Offset Face. Measure a 10 mm test circle: shrink = 10.0 − actual_diameter. Update per machine.</t>
        </is>
      </c>
      <c r="E5" s="9" t="inlineStr">
        <is>
          <t>0.15 mm</t>
        </is>
      </c>
    </row>
    <row r="6" ht="44" customHeight="1">
      <c r="A6" s="5" t="inlineStr">
        <is>
          <t>⚠ printer_accuracy_outer_dimension_oversize</t>
        </is>
      </c>
      <c r="B6" s="6" t="inlineStr">
        <is>
          <t>0.10</t>
        </is>
      </c>
      <c r="C6" s="7" t="inlineStr">
        <is>
          <t>mm</t>
        </is>
      </c>
      <c r="D6" s="8" t="inlineStr">
        <is>
          <t>FDM outer surfaces print 0.05–0.20 mm larger than modeled due to extrusion pressure. Subtract from shaft and boss ODs for precise fits. Measure a 20 mm calibration cube in X and Y.</t>
        </is>
      </c>
      <c r="E6" s="9" t="inlineStr">
        <is>
          <t>0.10 mm</t>
        </is>
      </c>
    </row>
    <row r="7" ht="44" customHeight="1">
      <c r="A7" s="10" t="inlineStr">
        <is>
          <t>printer_accuracy_standard_layer_height</t>
        </is>
      </c>
      <c r="B7" s="11" t="inlineStr">
        <is>
          <t>0.20</t>
        </is>
      </c>
      <c r="C7" s="12" t="inlineStr">
        <is>
          <t>mm</t>
        </is>
      </c>
      <c r="D7" s="13" t="inlineStr">
        <is>
          <t>Default layer height. Base unit for teardrop compensation, bridge sag, and fillet minimums. Update when switching profiles — all derived params follow.</t>
        </is>
      </c>
      <c r="E7" s="14" t="inlineStr">
        <is>
          <t>0.20 mm</t>
        </is>
      </c>
    </row>
    <row r="8" ht="44" customHeight="1">
      <c r="A8" s="15" t="inlineStr">
        <is>
          <t>printer_accuracy_first_layer_height</t>
        </is>
      </c>
      <c r="B8" s="16" t="inlineStr">
        <is>
          <t>0.25</t>
        </is>
      </c>
      <c r="C8" s="17" t="inlineStr">
        <is>
          <t>mm</t>
        </is>
      </c>
      <c r="D8" s="18" t="inlineStr">
        <is>
          <t>First layer printed thicker for bed adhesion. Relevant for total Z stack height calculations.</t>
        </is>
      </c>
      <c r="E8" s="19" t="inlineStr">
        <is>
          <t>0.25 mm</t>
        </is>
      </c>
    </row>
    <row r="9" ht="44" customHeight="1">
      <c r="A9" s="5" t="inlineStr">
        <is>
          <t>⚠ printer_accuracy_extrusion_line_width</t>
        </is>
      </c>
      <c r="B9" s="6" t="inlineStr">
        <is>
          <t>0.45</t>
        </is>
      </c>
      <c r="C9" s="7" t="inlineStr">
        <is>
          <t>mm</t>
        </is>
      </c>
      <c r="D9" s="8" t="inlineStr">
        <is>
          <t>Actual deposited extrusion line width — typically nozzle_dia × 1.10–1.15. All wall thickness and bridge span calcs derive from this. Re-measure after any nozzle change.</t>
        </is>
      </c>
      <c r="E9" s="9" t="inlineStr">
        <is>
          <t>0.45 mm</t>
        </is>
      </c>
    </row>
    <row r="10" ht="44" customHeight="1">
      <c r="A10" s="5" t="inlineStr">
        <is>
          <t>⚠ printer_accuracy_elephant_foot_compensation</t>
        </is>
      </c>
      <c r="B10" s="6" t="inlineStr">
        <is>
          <t>0.15</t>
        </is>
      </c>
      <c r="C10" s="7" t="inlineStr">
        <is>
          <t>mm</t>
        </is>
      </c>
      <c r="D10" s="8" t="inlineStr">
        <is>
          <t>First-layer squish bulge on outer perimeter — typically 0.10–0.20 mm. Subtract from bottom-surface mating features (flanges, bases) so they sit flush. Dial in with a single-layer calibration square.</t>
        </is>
      </c>
      <c r="E10" s="9" t="inlineStr">
        <is>
          <t>0.15 mm</t>
        </is>
      </c>
    </row>
    <row r="11" ht="44" customHeight="1">
      <c r="A11" s="10" t="inlineStr">
        <is>
          <t>printer_accuracy_seam_zseam_protrusion</t>
        </is>
      </c>
      <c r="B11" s="11" t="inlineStr">
        <is>
          <t>0.05</t>
        </is>
      </c>
      <c r="C11" s="12" t="inlineStr">
        <is>
          <t>mm</t>
        </is>
      </c>
      <c r="D11" s="13" t="inlineStr">
        <is>
          <t>Small Z-seam protrusion at layer start. Matters on outer mating surfaces. Either orient seam to a non-mating edge, or add this allowance to surface-critical fits.</t>
        </is>
      </c>
      <c r="E11" s="14" t="inlineStr">
        <is>
          <t>0.05 mm</t>
        </is>
      </c>
    </row>
    <row r="12" ht="44" customHeight="1">
      <c r="A12" s="15" t="inlineStr">
        <is>
          <t>printer_accuracy_minimum_infill_bridging_width</t>
        </is>
      </c>
      <c r="B12" s="16">
        <f>2*printer_accuracy_extrusion_line_width</f>
        <v/>
      </c>
      <c r="C12" s="17" t="inlineStr">
        <is>
          <t>mm</t>
        </is>
      </c>
      <c r="D12" s="18" t="inlineStr">
        <is>
          <t>Below this pocket width, infill skips entirely and bridges. Account for this in thin pocket features — infill may not fill them at all.</t>
        </is>
      </c>
      <c r="E12" s="19">
        <f>2*printer_accuracy_extrusion_line_width</f>
        <v/>
      </c>
    </row>
    <row r="13" ht="44" customHeight="1">
      <c r="A13" s="10" t="inlineStr">
        <is>
          <t>printer_accuracy_solid_top_layers_for_mating_surface</t>
        </is>
      </c>
      <c r="B13" s="11" t="inlineStr">
        <is>
          <t>3</t>
        </is>
      </c>
      <c r="C13" s="12" t="inlineStr">
        <is>
          <t>count</t>
        </is>
      </c>
      <c r="D13" s="13" t="inlineStr">
        <is>
          <t>Number of solid top layers before a press-fit or heat-set mating surface for best dimensional accuracy. Fewer layers = rougher surface = worse fit.</t>
        </is>
      </c>
      <c r="E13" s="14" t="inlineStr">
        <is>
          <t>3</t>
        </is>
      </c>
    </row>
    <row r="14" ht="18" customHeight="1">
      <c r="A14" s="4" t="inlineStr">
        <is>
          <t>📐  GENERAL TOLERANCE STANDARDS  —  ISO 2768 &amp; FDM-adjusted fit classes</t>
        </is>
      </c>
      <c r="B14" s="49" t="n"/>
      <c r="C14" s="49" t="n"/>
      <c r="D14" s="49" t="n"/>
      <c r="E14" s="50" t="n"/>
    </row>
    <row r="15" ht="44" customHeight="1">
      <c r="A15" s="15" t="inlineStr">
        <is>
          <t>tolerance_standard_fine_iso2768_f</t>
        </is>
      </c>
      <c r="B15" s="16" t="inlineStr">
        <is>
          <t>0.10</t>
        </is>
      </c>
      <c r="C15" s="17" t="inlineStr">
        <is>
          <t>mm</t>
        </is>
      </c>
      <c r="D15" s="18" t="inlineStr">
        <is>
          <t>ISO 2768 fine class (f) — general linear tolerance ±0.05 mm per side for 3–30 mm features. Requires a well-calibrated machine.</t>
        </is>
      </c>
      <c r="E15" s="19" t="inlineStr">
        <is>
          <t>0.10 mm</t>
        </is>
      </c>
    </row>
    <row r="16" ht="44" customHeight="1">
      <c r="A16" s="10" t="inlineStr">
        <is>
          <t>tolerance_standard_medium_iso2768_m</t>
        </is>
      </c>
      <c r="B16" s="11" t="inlineStr">
        <is>
          <t>0.20</t>
        </is>
      </c>
      <c r="C16" s="12" t="inlineStr">
        <is>
          <t>mm</t>
        </is>
      </c>
      <c r="D16" s="13" t="inlineStr">
        <is>
          <t>ISO 2768 medium class (m) — ±0.10 mm per side for 3–30 mm. Default starting point for most functional FDM parts.</t>
        </is>
      </c>
      <c r="E16" s="14" t="inlineStr">
        <is>
          <t>0.20 mm</t>
        </is>
      </c>
    </row>
    <row r="17" ht="44" customHeight="1">
      <c r="A17" s="15" t="inlineStr">
        <is>
          <t>tolerance_standard_coarse_iso2768_c</t>
        </is>
      </c>
      <c r="B17" s="16" t="inlineStr">
        <is>
          <t>0.40</t>
        </is>
      </c>
      <c r="C17" s="17" t="inlineStr">
        <is>
          <t>mm</t>
        </is>
      </c>
      <c r="D17" s="18" t="inlineStr">
        <is>
          <t>ISO 2768 coarse class (c) — ±0.20 mm per side. For non-critical features or lower-accuracy machines.</t>
        </is>
      </c>
      <c r="E17" s="19" t="inlineStr">
        <is>
          <t>0.40 mm</t>
        </is>
      </c>
    </row>
    <row r="18" ht="44" customHeight="1">
      <c r="A18" s="10" t="inlineStr">
        <is>
          <t>tolerance_angular_general_degrees</t>
        </is>
      </c>
      <c r="B18" s="11" t="inlineStr">
        <is>
          <t>1.0</t>
        </is>
      </c>
      <c r="C18" s="12" t="inlineStr">
        <is>
          <t>deg</t>
        </is>
      </c>
      <c r="D18" s="13" t="inlineStr">
        <is>
          <t>General angular tolerance. Matches ISO 2768 medium angular class for 0–10 mm leg length. Critical angles (e.g. 45° for no-support printing) should be exactly constrained.</t>
        </is>
      </c>
      <c r="E18" s="14" t="inlineStr">
        <is>
          <t>1.0 deg</t>
        </is>
      </c>
    </row>
    <row r="19" ht="44" customHeight="1">
      <c r="A19" s="15" t="inlineStr">
        <is>
          <t>tolerance_fit_class_fdm_sliding_per_surface</t>
        </is>
      </c>
      <c r="B19" s="16" t="inlineStr">
        <is>
          <t>0.15</t>
        </is>
      </c>
      <c r="C19" s="17" t="inlineStr">
        <is>
          <t>mm</t>
        </is>
      </c>
      <c r="D19" s="18" t="inlineStr">
        <is>
          <t>FDM-practical sliding fit clearance per mating surface (total gap = 0.30 mm). Equivalent to coarse H8/e8 adapted for FDM variation. Use for lids, sliding panels, guide channels.</t>
        </is>
      </c>
      <c r="E19" s="19" t="inlineStr">
        <is>
          <t>0.15 mm</t>
        </is>
      </c>
    </row>
    <row r="20" ht="44" customHeight="1">
      <c r="A20" s="10" t="inlineStr">
        <is>
          <t>tolerance_fit_class_fdm_press_per_surface</t>
        </is>
      </c>
      <c r="B20" s="11" t="inlineStr">
        <is>
          <t>0.05</t>
        </is>
      </c>
      <c r="C20" s="12" t="inlineStr">
        <is>
          <t>mm</t>
        </is>
      </c>
      <c r="D20" s="13" t="inlineStr">
        <is>
          <t>FDM light press fit per mating surface (total gap = 0.10 mm). Requires deliberate hand force. Good for retained pins and press-in bushings.</t>
        </is>
      </c>
      <c r="E20" s="14" t="inlineStr">
        <is>
          <t>0.05 mm</t>
        </is>
      </c>
    </row>
    <row r="21" ht="44" customHeight="1">
      <c r="A21" s="15" t="inlineStr">
        <is>
          <t>tolerance_fit_class_fdm_interference_per_surface</t>
        </is>
      </c>
      <c r="B21" s="16" t="inlineStr">
        <is>
          <t>-0.05</t>
        </is>
      </c>
      <c r="C21" s="17" t="inlineStr">
        <is>
          <t>mm</t>
        </is>
      </c>
      <c r="D21" s="18" t="inlineStr">
        <is>
          <t>FDM interference fit — hole modeled smaller than shaft by this per side. Requires significant force or press. Most reliable with TPU or small features.</t>
        </is>
      </c>
      <c r="E21" s="19" t="inlineStr">
        <is>
          <t>-0.05 mm</t>
        </is>
      </c>
    </row>
    <row r="22" ht="44" customHeight="1">
      <c r="A22" s="10" t="inlineStr">
        <is>
          <t>tolerance_fit_class_iso_h7_g6_running_clearance</t>
        </is>
      </c>
      <c r="B22" s="11" t="inlineStr">
        <is>
          <t>0.025</t>
        </is>
      </c>
      <c r="C22" s="12" t="inlineStr">
        <is>
          <t>mm</t>
        </is>
      </c>
      <c r="D22" s="13" t="inlineStr">
        <is>
          <t>ISO H7/g6 running clearance fit reference. Only achievable by post-machining or reaming in FDM context. Provided as a design target.</t>
        </is>
      </c>
      <c r="E22" s="14" t="inlineStr">
        <is>
          <t>0.025 mm</t>
        </is>
      </c>
    </row>
    <row r="23" ht="18" customHeight="1">
      <c r="A23" s="4" t="inlineStr">
        <is>
          <t>🔧  HOLES &amp; BOSS GEOMETRY  —  M2 through M6</t>
        </is>
      </c>
      <c r="B23" s="49" t="n"/>
      <c r="C23" s="49" t="n"/>
      <c r="D23" s="49" t="n"/>
      <c r="E23" s="50" t="n"/>
    </row>
    <row r="24" ht="44" customHeight="1">
      <c r="A24" s="15" t="inlineStr">
        <is>
          <t>hole_geometry_minimum_printable_diameter</t>
        </is>
      </c>
      <c r="B24" s="16" t="inlineStr">
        <is>
          <t>2.00</t>
        </is>
      </c>
      <c r="C24" s="17" t="inlineStr">
        <is>
          <t>mm</t>
        </is>
      </c>
      <c r="D24" s="18" t="inlineStr">
        <is>
          <t>Minimum FDM hole diameter without post-processing. Smaller holes are often malformed — model at 1.5 mm and drill to final size.</t>
        </is>
      </c>
      <c r="E24" s="19" t="inlineStr">
        <is>
          <t>2.00 mm</t>
        </is>
      </c>
    </row>
    <row r="25" ht="44" customHeight="1">
      <c r="A25" s="10" t="inlineStr">
        <is>
          <t>hole_geometry_horizontal_teardrop_z_offset</t>
        </is>
      </c>
      <c r="B25" s="11">
        <f>printer_accuracy_standard_layer_height</f>
        <v/>
      </c>
      <c r="C25" s="12" t="inlineStr">
        <is>
          <t>mm</t>
        </is>
      </c>
      <c r="D25" s="13" t="inlineStr">
        <is>
          <t>Upward Z offset for horizontal holes to compensate overhang droop. Shift hole center up by this, or use teardrop profile.</t>
        </is>
      </c>
      <c r="E25" s="14">
        <f>printer_accuracy_standard_layer_height</f>
        <v/>
      </c>
    </row>
    <row r="26" ht="44" customHeight="1">
      <c r="A26" s="15" t="inlineStr">
        <is>
          <t>hole_geometry_fdm_diameter_compensation</t>
        </is>
      </c>
      <c r="B26" s="16">
        <f>printer_accuracy_hole_shrink_compensation</f>
        <v/>
      </c>
      <c r="C26" s="17" t="inlineStr">
        <is>
          <t>mm</t>
        </is>
      </c>
      <c r="D26" s="18" t="inlineStr">
        <is>
          <t>Add to all circle sketch diameters, or Offset Face after modeling. References printer_accuracy_hole_shrink_compensation.</t>
        </is>
      </c>
      <c r="E26" s="19">
        <f>printer_accuracy_hole_shrink_compensation</f>
        <v/>
      </c>
    </row>
    <row r="27" ht="44" customHeight="1">
      <c r="A27" s="10" t="inlineStr">
        <is>
          <t>hole_geometry_self_tap_m3_into_plastic_diameter</t>
        </is>
      </c>
      <c r="B27" s="11" t="inlineStr">
        <is>
          <t>2.70</t>
        </is>
      </c>
      <c r="C27" s="12" t="inlineStr">
        <is>
          <t>mm</t>
        </is>
      </c>
      <c r="D27" s="13" t="inlineStr">
        <is>
          <t>Hole diameter for direct M3 screw into plastic (self-tapping, no insert). Use for low-load non-serviceable joints. Engagement length ≥ 8 mm recommended.</t>
        </is>
      </c>
      <c r="E27" s="14" t="inlineStr">
        <is>
          <t>2.70 mm</t>
        </is>
      </c>
    </row>
    <row r="28" ht="44" customHeight="1">
      <c r="A28" s="15" t="inlineStr">
        <is>
          <t>hole_geometry_self_tap_m4_into_plastic_diameter</t>
        </is>
      </c>
      <c r="B28" s="16" t="inlineStr">
        <is>
          <t>3.50</t>
        </is>
      </c>
      <c r="C28" s="17" t="inlineStr">
        <is>
          <t>mm</t>
        </is>
      </c>
      <c r="D28" s="18" t="inlineStr">
        <is>
          <t>Hole diameter for direct M4 self-tapping into plastic.</t>
        </is>
      </c>
      <c r="E28" s="19" t="inlineStr">
        <is>
          <t>3.50 mm</t>
        </is>
      </c>
    </row>
    <row r="29" ht="44" customHeight="1">
      <c r="A29" s="10" t="inlineStr">
        <is>
          <t>hole_geometry_thread_engagement_minimum_length</t>
        </is>
      </c>
      <c r="B29" s="11" t="inlineStr">
        <is>
          <t>6.00</t>
        </is>
      </c>
      <c r="C29" s="12" t="inlineStr">
        <is>
          <t>mm</t>
        </is>
      </c>
      <c r="D29" s="13" t="inlineStr">
        <is>
          <t>Minimum thread engagement length for reliable printed threads under moderate load. Rule of thumb: 1× bolt diameter minimum, 2× for structural. At M3 that is 3–6 mm.</t>
        </is>
      </c>
      <c r="E29" s="14" t="inlineStr">
        <is>
          <t>6.00 mm</t>
        </is>
      </c>
    </row>
    <row r="30" ht="44" customHeight="1">
      <c r="A30" s="15" t="inlineStr">
        <is>
          <t>hole_geometry_m2_screw_clearance_diameter</t>
        </is>
      </c>
      <c r="B30" s="16" t="inlineStr">
        <is>
          <t>2.40</t>
        </is>
      </c>
      <c r="C30" s="17" t="inlineStr">
        <is>
          <t>mm</t>
        </is>
      </c>
      <c r="D30" s="18" t="inlineStr">
        <is>
          <t>M2 bolt clearance through-hole. ISO M2 shank = 2.0 mm + 0.40 mm FDM clearance.</t>
        </is>
      </c>
      <c r="E30" s="19" t="inlineStr">
        <is>
          <t>2.40 mm</t>
        </is>
      </c>
    </row>
    <row r="31" ht="44" customHeight="1">
      <c r="A31" s="10" t="inlineStr">
        <is>
          <t>hole_geometry_m2_close_fit_diameter</t>
        </is>
      </c>
      <c r="B31" s="11" t="inlineStr">
        <is>
          <t>2.20</t>
        </is>
      </c>
      <c r="C31" s="12" t="inlineStr">
        <is>
          <t>mm</t>
        </is>
      </c>
      <c r="D31" s="13" t="inlineStr">
        <is>
          <t>M2 close-fit location hole — for alignment and indexed dowels.</t>
        </is>
      </c>
      <c r="E31" s="14" t="inlineStr">
        <is>
          <t>2.20 mm</t>
        </is>
      </c>
    </row>
    <row r="32" ht="44" customHeight="1">
      <c r="A32" s="15" t="inlineStr">
        <is>
          <t>boss_geometry_m2_outer_diameter</t>
        </is>
      </c>
      <c r="B32" s="16" t="inlineStr">
        <is>
          <t>4.00</t>
        </is>
      </c>
      <c r="C32" s="17" t="inlineStr">
        <is>
          <t>mm</t>
        </is>
      </c>
      <c r="D32" s="18" t="inlineStr">
        <is>
          <t>M2 boss OD — cylindrical pad surrounding M2 hole. 2× screw diameter rule.</t>
        </is>
      </c>
      <c r="E32" s="19" t="inlineStr">
        <is>
          <t>4.00 mm</t>
        </is>
      </c>
    </row>
    <row r="33" ht="44" customHeight="1">
      <c r="A33" s="10" t="inlineStr">
        <is>
          <t>hole_geometry_m2p5_screw_clearance_diameter</t>
        </is>
      </c>
      <c r="B33" s="11" t="inlineStr">
        <is>
          <t>2.90</t>
        </is>
      </c>
      <c r="C33" s="12" t="inlineStr">
        <is>
          <t>mm</t>
        </is>
      </c>
      <c r="D33" s="13" t="inlineStr">
        <is>
          <t>M2.5 bolt clearance through-hole. ISO M2.5 shank = 2.5 mm + 0.40 mm. Raspberry Pi / SBC standard fastener.</t>
        </is>
      </c>
      <c r="E33" s="14" t="inlineStr">
        <is>
          <t>2.90 mm</t>
        </is>
      </c>
    </row>
    <row r="34" ht="44" customHeight="1">
      <c r="A34" s="15" t="inlineStr">
        <is>
          <t>hole_geometry_m2p5_close_fit_diameter</t>
        </is>
      </c>
      <c r="B34" s="16" t="inlineStr">
        <is>
          <t>2.70</t>
        </is>
      </c>
      <c r="C34" s="17" t="inlineStr">
        <is>
          <t>mm</t>
        </is>
      </c>
      <c r="D34" s="18" t="inlineStr">
        <is>
          <t>M2.5 close-fit location hole.</t>
        </is>
      </c>
      <c r="E34" s="19" t="inlineStr">
        <is>
          <t>2.70 mm</t>
        </is>
      </c>
    </row>
    <row r="35" ht="44" customHeight="1">
      <c r="A35" s="10" t="inlineStr">
        <is>
          <t>boss_geometry_m2p5_outer_diameter</t>
        </is>
      </c>
      <c r="B35" s="11" t="inlineStr">
        <is>
          <t>5.00</t>
        </is>
      </c>
      <c r="C35" s="12" t="inlineStr">
        <is>
          <t>mm</t>
        </is>
      </c>
      <c r="D35" s="13" t="inlineStr">
        <is>
          <t>M2.5 boss OD — standard for SBC and PCB mounting posts.</t>
        </is>
      </c>
      <c r="E35" s="14" t="inlineStr">
        <is>
          <t>5.00 mm</t>
        </is>
      </c>
    </row>
    <row r="36" ht="44" customHeight="1">
      <c r="A36" s="15" t="inlineStr">
        <is>
          <t>hole_geometry_m3_screw_clearance_diameter</t>
        </is>
      </c>
      <c r="B36" s="16" t="inlineStr">
        <is>
          <t>3.40</t>
        </is>
      </c>
      <c r="C36" s="17" t="inlineStr">
        <is>
          <t>mm</t>
        </is>
      </c>
      <c r="D36" s="18" t="inlineStr">
        <is>
          <t>M3 bolt clearance through-hole. Voron project standard. ISO M3 shank = 3.0 mm + 0.40 mm.</t>
        </is>
      </c>
      <c r="E36" s="19" t="inlineStr">
        <is>
          <t>3.40 mm</t>
        </is>
      </c>
    </row>
    <row r="37" ht="44" customHeight="1">
      <c r="A37" s="10" t="inlineStr">
        <is>
          <t>hole_geometry_m3_close_fit_diameter</t>
        </is>
      </c>
      <c r="B37" s="11" t="inlineStr">
        <is>
          <t>3.20</t>
        </is>
      </c>
      <c r="C37" s="12" t="inlineStr">
        <is>
          <t>mm</t>
        </is>
      </c>
      <c r="D37" s="13" t="inlineStr">
        <is>
          <t>M3 close-fit location hole.</t>
        </is>
      </c>
      <c r="E37" s="14" t="inlineStr">
        <is>
          <t>3.20 mm</t>
        </is>
      </c>
    </row>
    <row r="38" ht="44" customHeight="1">
      <c r="A38" s="15" t="inlineStr">
        <is>
          <t>boss_geometry_m3_outer_diameter</t>
        </is>
      </c>
      <c r="B38" s="16" t="inlineStr">
        <is>
          <t>6.40</t>
        </is>
      </c>
      <c r="C38" s="17" t="inlineStr">
        <is>
          <t>mm</t>
        </is>
      </c>
      <c r="D38" s="18" t="inlineStr">
        <is>
          <t>M3 boss OD — Voron standard. ~1.5 mm wall around clearance hole.</t>
        </is>
      </c>
      <c r="E38" s="19" t="inlineStr">
        <is>
          <t>6.40 mm</t>
        </is>
      </c>
    </row>
    <row r="39" ht="44" customHeight="1">
      <c r="A39" s="10" t="inlineStr">
        <is>
          <t>hole_geometry_m4_screw_clearance_diameter</t>
        </is>
      </c>
      <c r="B39" s="11" t="inlineStr">
        <is>
          <t>4.50</t>
        </is>
      </c>
      <c r="C39" s="12" t="inlineStr">
        <is>
          <t>mm</t>
        </is>
      </c>
      <c r="D39" s="13" t="inlineStr">
        <is>
          <t>M4 bolt clearance through-hole. ISO M4 = 4.0 mm + 0.50 mm.</t>
        </is>
      </c>
      <c r="E39" s="14" t="inlineStr">
        <is>
          <t>4.50 mm</t>
        </is>
      </c>
    </row>
    <row r="40" ht="44" customHeight="1">
      <c r="A40" s="15" t="inlineStr">
        <is>
          <t>hole_geometry_m4_close_fit_diameter</t>
        </is>
      </c>
      <c r="B40" s="16" t="inlineStr">
        <is>
          <t>4.20</t>
        </is>
      </c>
      <c r="C40" s="17" t="inlineStr">
        <is>
          <t>mm</t>
        </is>
      </c>
      <c r="D40" s="18" t="inlineStr">
        <is>
          <t>M4 close-fit location hole.</t>
        </is>
      </c>
      <c r="E40" s="19" t="inlineStr">
        <is>
          <t>4.20 mm</t>
        </is>
      </c>
    </row>
    <row r="41" ht="44" customHeight="1">
      <c r="A41" s="10" t="inlineStr">
        <is>
          <t>boss_geometry_m4_outer_diameter</t>
        </is>
      </c>
      <c r="B41" s="11" t="inlineStr">
        <is>
          <t>8.00</t>
        </is>
      </c>
      <c r="C41" s="12" t="inlineStr">
        <is>
          <t>mm</t>
        </is>
      </c>
      <c r="D41" s="13" t="inlineStr">
        <is>
          <t>M4 boss OD — 2× screw diameter, ~1.75 mm wall.</t>
        </is>
      </c>
      <c r="E41" s="14" t="inlineStr">
        <is>
          <t>8.00 mm</t>
        </is>
      </c>
    </row>
    <row r="42" ht="44" customHeight="1">
      <c r="A42" s="15" t="inlineStr">
        <is>
          <t>hole_geometry_m5_screw_clearance_diameter</t>
        </is>
      </c>
      <c r="B42" s="16" t="inlineStr">
        <is>
          <t>5.50</t>
        </is>
      </c>
      <c r="C42" s="17" t="inlineStr">
        <is>
          <t>mm</t>
        </is>
      </c>
      <c r="D42" s="18" t="inlineStr">
        <is>
          <t>M5 bolt clearance through-hole. ISO M5 = 5.0 mm + 0.50 mm.</t>
        </is>
      </c>
      <c r="E42" s="19" t="inlineStr">
        <is>
          <t>5.50 mm</t>
        </is>
      </c>
    </row>
    <row r="43" ht="44" customHeight="1">
      <c r="A43" s="10" t="inlineStr">
        <is>
          <t>hole_geometry_m5_close_fit_diameter</t>
        </is>
      </c>
      <c r="B43" s="11" t="inlineStr">
        <is>
          <t>5.20</t>
        </is>
      </c>
      <c r="C43" s="12" t="inlineStr">
        <is>
          <t>mm</t>
        </is>
      </c>
      <c r="D43" s="13" t="inlineStr">
        <is>
          <t>M5 close-fit location hole.</t>
        </is>
      </c>
      <c r="E43" s="14" t="inlineStr">
        <is>
          <t>5.20 mm</t>
        </is>
      </c>
    </row>
    <row r="44" ht="44" customHeight="1">
      <c r="A44" s="15" t="inlineStr">
        <is>
          <t>boss_geometry_m5_outer_diameter</t>
        </is>
      </c>
      <c r="B44" s="16" t="inlineStr">
        <is>
          <t>9.50</t>
        </is>
      </c>
      <c r="C44" s="17" t="inlineStr">
        <is>
          <t>mm</t>
        </is>
      </c>
      <c r="D44" s="18" t="inlineStr">
        <is>
          <t>M5 boss OD.</t>
        </is>
      </c>
      <c r="E44" s="19" t="inlineStr">
        <is>
          <t>9.50 mm</t>
        </is>
      </c>
    </row>
    <row r="45" ht="44" customHeight="1">
      <c r="A45" s="10" t="inlineStr">
        <is>
          <t>hole_geometry_m6_screw_clearance_diameter</t>
        </is>
      </c>
      <c r="B45" s="11" t="inlineStr">
        <is>
          <t>6.60</t>
        </is>
      </c>
      <c r="C45" s="12" t="inlineStr">
        <is>
          <t>mm</t>
        </is>
      </c>
      <c r="D45" s="13" t="inlineStr">
        <is>
          <t>M6 bolt clearance through-hole.</t>
        </is>
      </c>
      <c r="E45" s="14" t="inlineStr">
        <is>
          <t>6.60 mm</t>
        </is>
      </c>
    </row>
    <row r="46" ht="44" customHeight="1">
      <c r="A46" s="15" t="inlineStr">
        <is>
          <t>hole_geometry_m6_close_fit_diameter</t>
        </is>
      </c>
      <c r="B46" s="16" t="inlineStr">
        <is>
          <t>6.20</t>
        </is>
      </c>
      <c r="C46" s="17" t="inlineStr">
        <is>
          <t>mm</t>
        </is>
      </c>
      <c r="D46" s="18" t="inlineStr">
        <is>
          <t>M6 close-fit location hole.</t>
        </is>
      </c>
      <c r="E46" s="19" t="inlineStr">
        <is>
          <t>6.20 mm</t>
        </is>
      </c>
    </row>
    <row r="47" ht="44" customHeight="1">
      <c r="A47" s="10" t="inlineStr">
        <is>
          <t>boss_geometry_m6_outer_diameter</t>
        </is>
      </c>
      <c r="B47" s="11" t="inlineStr">
        <is>
          <t>11.00</t>
        </is>
      </c>
      <c r="C47" s="12" t="inlineStr">
        <is>
          <t>mm</t>
        </is>
      </c>
      <c r="D47" s="13" t="inlineStr">
        <is>
          <t>M6 boss OD.</t>
        </is>
      </c>
      <c r="E47" s="14" t="inlineStr">
        <is>
          <t>11.00 mm</t>
        </is>
      </c>
    </row>
    <row r="48" ht="18" customHeight="1">
      <c r="A48" s="4" t="inlineStr">
        <is>
          <t>🔩  HEAT-SET THREADED INSERTS  —  Voron / CNC Kitchen spec (M2–M5)</t>
        </is>
      </c>
      <c r="B48" s="49" t="n"/>
      <c r="C48" s="49" t="n"/>
      <c r="D48" s="49" t="n"/>
      <c r="E48" s="50" t="n"/>
    </row>
    <row r="49" ht="44" customHeight="1">
      <c r="A49" s="5" t="inlineStr">
        <is>
          <t>⚠ heatset_insert_m2_recommended_hole_id</t>
        </is>
      </c>
      <c r="B49" s="6" t="inlineStr">
        <is>
          <t>3.20</t>
        </is>
      </c>
      <c r="C49" s="7" t="inlineStr">
        <is>
          <t>mm</t>
        </is>
      </c>
      <c r="D49" s="8" t="inlineStr">
        <is>
          <t>M2 heat-set hole ID. ~98% of insert OD. Measure your batch.</t>
        </is>
      </c>
      <c r="E49" s="9" t="inlineStr">
        <is>
          <t>3.20 mm</t>
        </is>
      </c>
    </row>
    <row r="50" ht="44" customHeight="1">
      <c r="A50" s="10" t="inlineStr">
        <is>
          <t>heatset_insert_m2_recess_depth</t>
        </is>
      </c>
      <c r="B50" s="11" t="inlineStr">
        <is>
          <t>3.20</t>
        </is>
      </c>
      <c r="C50" s="12" t="inlineStr">
        <is>
          <t>mm</t>
        </is>
      </c>
      <c r="D50" s="13" t="inlineStr">
        <is>
          <t>M2 recess depth = insert length + 0.20 mm.</t>
        </is>
      </c>
      <c r="E50" s="14" t="inlineStr">
        <is>
          <t>3.20 mm</t>
        </is>
      </c>
    </row>
    <row r="51" ht="44" customHeight="1">
      <c r="A51" s="5" t="inlineStr">
        <is>
          <t>⚠ heatset_insert_m3_recommended_hole_id</t>
        </is>
      </c>
      <c r="B51" s="6" t="inlineStr">
        <is>
          <t>4.40</t>
        </is>
      </c>
      <c r="C51" s="7" t="inlineStr">
        <is>
          <t>mm</t>
        </is>
      </c>
      <c r="D51" s="8" t="inlineStr">
        <is>
          <t>M3 heat-set hole ID — Voron standard Ruthex M3×5×4 (OD=4.5 mm). 98% of OD.</t>
        </is>
      </c>
      <c r="E51" s="9" t="inlineStr">
        <is>
          <t>4.40 mm</t>
        </is>
      </c>
    </row>
    <row r="52" ht="44" customHeight="1">
      <c r="A52" s="10" t="inlineStr">
        <is>
          <t>heatset_insert_m3_recess_depth</t>
        </is>
      </c>
      <c r="B52" s="11" t="inlineStr">
        <is>
          <t>4.20</t>
        </is>
      </c>
      <c r="C52" s="12" t="inlineStr">
        <is>
          <t>mm</t>
        </is>
      </c>
      <c r="D52" s="13" t="inlineStr">
        <is>
          <t>M3 recess depth — 4.0 mm insert + 0.20 mm flush margin.</t>
        </is>
      </c>
      <c r="E52" s="14" t="inlineStr">
        <is>
          <t>4.20 mm</t>
        </is>
      </c>
    </row>
    <row r="53" ht="44" customHeight="1">
      <c r="A53" s="15" t="inlineStr">
        <is>
          <t>heatset_insert_m3_boss_outer_diameter</t>
        </is>
      </c>
      <c r="B53" s="16" t="inlineStr">
        <is>
          <t>7.00</t>
        </is>
      </c>
      <c r="C53" s="17" t="inlineStr">
        <is>
          <t>mm</t>
        </is>
      </c>
      <c r="D53" s="18" t="inlineStr">
        <is>
          <t>M3 heat-set boss OD — slightly larger than plain M3 boss to handle insert knurling pressure.</t>
        </is>
      </c>
      <c r="E53" s="19" t="inlineStr">
        <is>
          <t>7.00 mm</t>
        </is>
      </c>
    </row>
    <row r="54" ht="44" customHeight="1">
      <c r="A54" s="5" t="inlineStr">
        <is>
          <t>⚠ heatset_insert_m4_recommended_hole_id</t>
        </is>
      </c>
      <c r="B54" s="6" t="inlineStr">
        <is>
          <t>5.40</t>
        </is>
      </c>
      <c r="C54" s="7" t="inlineStr">
        <is>
          <t>mm</t>
        </is>
      </c>
      <c r="D54" s="8" t="inlineStr">
        <is>
          <t>M4 heat-set hole ID (Ruthex RX-M4×6 OD≈5.6 mm). Always measure batch.</t>
        </is>
      </c>
      <c r="E54" s="9" t="inlineStr">
        <is>
          <t>5.40 mm</t>
        </is>
      </c>
    </row>
    <row r="55" ht="44" customHeight="1">
      <c r="A55" s="15" t="inlineStr">
        <is>
          <t>heatset_insert_m4_recess_depth</t>
        </is>
      </c>
      <c r="B55" s="16" t="inlineStr">
        <is>
          <t>6.20</t>
        </is>
      </c>
      <c r="C55" s="17" t="inlineStr">
        <is>
          <t>mm</t>
        </is>
      </c>
      <c r="D55" s="18" t="inlineStr">
        <is>
          <t>M4 recess depth = 6.0 mm insert + 0.20 mm.</t>
        </is>
      </c>
      <c r="E55" s="19" t="inlineStr">
        <is>
          <t>6.20 mm</t>
        </is>
      </c>
    </row>
    <row r="56" ht="44" customHeight="1">
      <c r="A56" s="5" t="inlineStr">
        <is>
          <t>⚠ heatset_insert_m5_recommended_hole_id</t>
        </is>
      </c>
      <c r="B56" s="6" t="inlineStr">
        <is>
          <t>6.40</t>
        </is>
      </c>
      <c r="C56" s="7" t="inlineStr">
        <is>
          <t>mm</t>
        </is>
      </c>
      <c r="D56" s="8" t="inlineStr">
        <is>
          <t>M5 heat-set hole ID. Verify OD of your specific insert brand.</t>
        </is>
      </c>
      <c r="E56" s="9" t="inlineStr">
        <is>
          <t>6.40 mm</t>
        </is>
      </c>
    </row>
    <row r="57" ht="44" customHeight="1">
      <c r="A57" s="15" t="inlineStr">
        <is>
          <t>heatset_insert_install_temp_pla_celsius</t>
        </is>
      </c>
      <c r="B57" s="16" t="inlineStr">
        <is>
          <t>180</t>
        </is>
      </c>
      <c r="C57" s="17" t="inlineStr">
        <is>
          <t>°C</t>
        </is>
      </c>
      <c r="D57" s="18" t="inlineStr">
        <is>
          <t>Soldering iron tip temp for PLA heat-set installation. Use a dedicated brass insert tip.</t>
        </is>
      </c>
      <c r="E57" s="19" t="inlineStr">
        <is>
          <t>180</t>
        </is>
      </c>
    </row>
    <row r="58" ht="44" customHeight="1">
      <c r="A58" s="10" t="inlineStr">
        <is>
          <t>heatset_insert_install_temp_petg_celsius</t>
        </is>
      </c>
      <c r="B58" s="11" t="inlineStr">
        <is>
          <t>220</t>
        </is>
      </c>
      <c r="C58" s="12" t="inlineStr">
        <is>
          <t>°C</t>
        </is>
      </c>
      <c r="D58" s="13" t="inlineStr">
        <is>
          <t>Iron tip temp for PETG heat-set installation.</t>
        </is>
      </c>
      <c r="E58" s="14" t="inlineStr">
        <is>
          <t>220</t>
        </is>
      </c>
    </row>
    <row r="59" ht="44" customHeight="1">
      <c r="A59" s="15" t="inlineStr">
        <is>
          <t>heatset_insert_install_temp_abs_asa_celsius</t>
        </is>
      </c>
      <c r="B59" s="16" t="inlineStr">
        <is>
          <t>240</t>
        </is>
      </c>
      <c r="C59" s="17" t="inlineStr">
        <is>
          <t>°C</t>
        </is>
      </c>
      <c r="D59" s="18" t="inlineStr">
        <is>
          <t>Iron tip temp for ABS/ASA heat-set installation.</t>
        </is>
      </c>
      <c r="E59" s="19" t="inlineStr">
        <is>
          <t>240</t>
        </is>
      </c>
    </row>
    <row r="60" ht="18" customHeight="1">
      <c r="A60" s="4" t="inlineStr">
        <is>
          <t>📏  STANDARD METRIC HARDWARE  —  ISO bolt / nut / washer reference dims</t>
        </is>
      </c>
      <c r="B60" s="49" t="n"/>
      <c r="C60" s="49" t="n"/>
      <c r="D60" s="49" t="n"/>
      <c r="E60" s="50" t="n"/>
    </row>
    <row r="61" ht="44" customHeight="1">
      <c r="A61" s="10" t="inlineStr">
        <is>
          <t>hardware_m2_button_head_iso7380_head_diameter</t>
        </is>
      </c>
      <c r="B61" s="11" t="inlineStr">
        <is>
          <t>3.80</t>
        </is>
      </c>
      <c r="C61" s="12" t="inlineStr">
        <is>
          <t>mm</t>
        </is>
      </c>
      <c r="D61" s="13" t="inlineStr">
        <is>
          <t>M2 button-head (ISO 7380) head OD.</t>
        </is>
      </c>
      <c r="E61" s="14" t="inlineStr">
        <is>
          <t>3.80 mm</t>
        </is>
      </c>
    </row>
    <row r="62" ht="44" customHeight="1">
      <c r="A62" s="15" t="inlineStr">
        <is>
          <t>hardware_m2_button_head_iso7380_head_height</t>
        </is>
      </c>
      <c r="B62" s="16" t="inlineStr">
        <is>
          <t>0.90</t>
        </is>
      </c>
      <c r="C62" s="17" t="inlineStr">
        <is>
          <t>mm</t>
        </is>
      </c>
      <c r="D62" s="18" t="inlineStr">
        <is>
          <t>M2 button-head head height.</t>
        </is>
      </c>
      <c r="E62" s="19" t="inlineStr">
        <is>
          <t>0.90 mm</t>
        </is>
      </c>
    </row>
    <row r="63" ht="44" customHeight="1">
      <c r="A63" s="10" t="inlineStr">
        <is>
          <t>hardware_m2p5_button_head_iso7380_head_diameter</t>
        </is>
      </c>
      <c r="B63" s="11" t="inlineStr">
        <is>
          <t>4.70</t>
        </is>
      </c>
      <c r="C63" s="12" t="inlineStr">
        <is>
          <t>mm</t>
        </is>
      </c>
      <c r="D63" s="13" t="inlineStr">
        <is>
          <t>M2.5 button-head head OD.</t>
        </is>
      </c>
      <c r="E63" s="14" t="inlineStr">
        <is>
          <t>4.70 mm</t>
        </is>
      </c>
    </row>
    <row r="64" ht="44" customHeight="1">
      <c r="A64" s="15" t="inlineStr">
        <is>
          <t>hardware_m2p5_button_head_iso7380_head_height</t>
        </is>
      </c>
      <c r="B64" s="16" t="inlineStr">
        <is>
          <t>1.30</t>
        </is>
      </c>
      <c r="C64" s="17" t="inlineStr">
        <is>
          <t>mm</t>
        </is>
      </c>
      <c r="D64" s="18" t="inlineStr">
        <is>
          <t>M2.5 button-head head height.</t>
        </is>
      </c>
      <c r="E64" s="19" t="inlineStr">
        <is>
          <t>1.30 mm</t>
        </is>
      </c>
    </row>
    <row r="65" ht="44" customHeight="1">
      <c r="A65" s="10" t="inlineStr">
        <is>
          <t>hardware_m3_button_head_iso7380_head_diameter</t>
        </is>
      </c>
      <c r="B65" s="11" t="inlineStr">
        <is>
          <t>5.70</t>
        </is>
      </c>
      <c r="C65" s="12" t="inlineStr">
        <is>
          <t>mm</t>
        </is>
      </c>
      <c r="D65" s="13" t="inlineStr">
        <is>
          <t>M3 button-head head OD. Most common fastener in 3D printer assemblies.</t>
        </is>
      </c>
      <c r="E65" s="14" t="inlineStr">
        <is>
          <t>5.70 mm</t>
        </is>
      </c>
    </row>
    <row r="66" ht="44" customHeight="1">
      <c r="A66" s="15" t="inlineStr">
        <is>
          <t>hardware_m3_button_head_iso7380_head_height</t>
        </is>
      </c>
      <c r="B66" s="16" t="inlineStr">
        <is>
          <t>1.65</t>
        </is>
      </c>
      <c r="C66" s="17" t="inlineStr">
        <is>
          <t>mm</t>
        </is>
      </c>
      <c r="D66" s="18" t="inlineStr">
        <is>
          <t>M3 button-head head height.</t>
        </is>
      </c>
      <c r="E66" s="19" t="inlineStr">
        <is>
          <t>1.65 mm</t>
        </is>
      </c>
    </row>
    <row r="67" ht="44" customHeight="1">
      <c r="A67" s="10" t="inlineStr">
        <is>
          <t>hardware_m4_button_head_iso7380_head_diameter</t>
        </is>
      </c>
      <c r="B67" s="11" t="inlineStr">
        <is>
          <t>7.60</t>
        </is>
      </c>
      <c r="C67" s="12" t="inlineStr">
        <is>
          <t>mm</t>
        </is>
      </c>
      <c r="D67" s="13" t="inlineStr">
        <is>
          <t>M4 button-head head OD.</t>
        </is>
      </c>
      <c r="E67" s="14" t="inlineStr">
        <is>
          <t>7.60 mm</t>
        </is>
      </c>
    </row>
    <row r="68" ht="44" customHeight="1">
      <c r="A68" s="15" t="inlineStr">
        <is>
          <t>hardware_m4_button_head_iso7380_head_height</t>
        </is>
      </c>
      <c r="B68" s="16" t="inlineStr">
        <is>
          <t>2.20</t>
        </is>
      </c>
      <c r="C68" s="17" t="inlineStr">
        <is>
          <t>mm</t>
        </is>
      </c>
      <c r="D68" s="18" t="inlineStr">
        <is>
          <t>M4 button-head head height.</t>
        </is>
      </c>
      <c r="E68" s="19" t="inlineStr">
        <is>
          <t>2.20 mm</t>
        </is>
      </c>
    </row>
    <row r="69" ht="44" customHeight="1">
      <c r="A69" s="10" t="inlineStr">
        <is>
          <t>hardware_m5_button_head_iso7380_head_diameter</t>
        </is>
      </c>
      <c r="B69" s="11" t="inlineStr">
        <is>
          <t>9.50</t>
        </is>
      </c>
      <c r="C69" s="12" t="inlineStr">
        <is>
          <t>mm</t>
        </is>
      </c>
      <c r="D69" s="13" t="inlineStr">
        <is>
          <t>M5 button-head head OD.</t>
        </is>
      </c>
      <c r="E69" s="14" t="inlineStr">
        <is>
          <t>9.50 mm</t>
        </is>
      </c>
    </row>
    <row r="70" ht="44" customHeight="1">
      <c r="A70" s="15" t="inlineStr">
        <is>
          <t>hardware_m5_button_head_iso7380_head_height</t>
        </is>
      </c>
      <c r="B70" s="16" t="inlineStr">
        <is>
          <t>2.75</t>
        </is>
      </c>
      <c r="C70" s="17" t="inlineStr">
        <is>
          <t>mm</t>
        </is>
      </c>
      <c r="D70" s="18" t="inlineStr">
        <is>
          <t>M5 button-head head height.</t>
        </is>
      </c>
      <c r="E70" s="19" t="inlineStr">
        <is>
          <t>2.75 mm</t>
        </is>
      </c>
    </row>
    <row r="71" ht="44" customHeight="1">
      <c r="A71" s="10" t="inlineStr">
        <is>
          <t>hardware_m2_socket_cap_din912_head_diameter</t>
        </is>
      </c>
      <c r="B71" s="11" t="inlineStr">
        <is>
          <t>3.80</t>
        </is>
      </c>
      <c r="C71" s="12" t="inlineStr">
        <is>
          <t>mm</t>
        </is>
      </c>
      <c r="D71" s="13" t="inlineStr">
        <is>
          <t>M2 socket cap head (DIN 912) OD.</t>
        </is>
      </c>
      <c r="E71" s="14" t="inlineStr">
        <is>
          <t>3.80 mm</t>
        </is>
      </c>
    </row>
    <row r="72" ht="44" customHeight="1">
      <c r="A72" s="15" t="inlineStr">
        <is>
          <t>hardware_m2_socket_cap_din912_head_height</t>
        </is>
      </c>
      <c r="B72" s="16" t="inlineStr">
        <is>
          <t>2.00</t>
        </is>
      </c>
      <c r="C72" s="17" t="inlineStr">
        <is>
          <t>mm</t>
        </is>
      </c>
      <c r="D72" s="18" t="inlineStr">
        <is>
          <t>M2 socket cap head height.</t>
        </is>
      </c>
      <c r="E72" s="19" t="inlineStr">
        <is>
          <t>2.00 mm</t>
        </is>
      </c>
    </row>
    <row r="73" ht="44" customHeight="1">
      <c r="A73" s="10" t="inlineStr">
        <is>
          <t>hardware_m2p5_socket_cap_din912_head_diameter</t>
        </is>
      </c>
      <c r="B73" s="11" t="inlineStr">
        <is>
          <t>4.50</t>
        </is>
      </c>
      <c r="C73" s="12" t="inlineStr">
        <is>
          <t>mm</t>
        </is>
      </c>
      <c r="D73" s="13" t="inlineStr">
        <is>
          <t>M2.5 socket cap head OD.</t>
        </is>
      </c>
      <c r="E73" s="14" t="inlineStr">
        <is>
          <t>4.50 mm</t>
        </is>
      </c>
    </row>
    <row r="74" ht="44" customHeight="1">
      <c r="A74" s="15" t="inlineStr">
        <is>
          <t>hardware_m2p5_socket_cap_din912_head_height</t>
        </is>
      </c>
      <c r="B74" s="16" t="inlineStr">
        <is>
          <t>2.50</t>
        </is>
      </c>
      <c r="C74" s="17" t="inlineStr">
        <is>
          <t>mm</t>
        </is>
      </c>
      <c r="D74" s="18" t="inlineStr">
        <is>
          <t>M2.5 socket cap head height.</t>
        </is>
      </c>
      <c r="E74" s="19" t="inlineStr">
        <is>
          <t>2.50 mm</t>
        </is>
      </c>
    </row>
    <row r="75" ht="44" customHeight="1">
      <c r="A75" s="10" t="inlineStr">
        <is>
          <t>hardware_m3_socket_cap_din912_head_diameter</t>
        </is>
      </c>
      <c r="B75" s="11" t="inlineStr">
        <is>
          <t>5.50</t>
        </is>
      </c>
      <c r="C75" s="12" t="inlineStr">
        <is>
          <t>mm</t>
        </is>
      </c>
      <c r="D75" s="13" t="inlineStr">
        <is>
          <t>M3 socket cap head OD. Slightly narrower than button — useful where lateral clearance is tight.</t>
        </is>
      </c>
      <c r="E75" s="14" t="inlineStr">
        <is>
          <t>5.50 mm</t>
        </is>
      </c>
    </row>
    <row r="76" ht="44" customHeight="1">
      <c r="A76" s="15" t="inlineStr">
        <is>
          <t>hardware_m3_socket_cap_din912_head_height</t>
        </is>
      </c>
      <c r="B76" s="16" t="inlineStr">
        <is>
          <t>3.00</t>
        </is>
      </c>
      <c r="C76" s="17" t="inlineStr">
        <is>
          <t>mm</t>
        </is>
      </c>
      <c r="D76" s="18" t="inlineStr">
        <is>
          <t>M3 socket cap head height. Taller than button head — verify stack height in assemblies.</t>
        </is>
      </c>
      <c r="E76" s="19" t="inlineStr">
        <is>
          <t>3.00 mm</t>
        </is>
      </c>
    </row>
    <row r="77" ht="44" customHeight="1">
      <c r="A77" s="10" t="inlineStr">
        <is>
          <t>hardware_m4_socket_cap_din912_head_diameter</t>
        </is>
      </c>
      <c r="B77" s="11" t="inlineStr">
        <is>
          <t>7.00</t>
        </is>
      </c>
      <c r="C77" s="12" t="inlineStr">
        <is>
          <t>mm</t>
        </is>
      </c>
      <c r="D77" s="13" t="inlineStr">
        <is>
          <t>M4 socket cap head OD.</t>
        </is>
      </c>
      <c r="E77" s="14" t="inlineStr">
        <is>
          <t>7.00 mm</t>
        </is>
      </c>
    </row>
    <row r="78" ht="44" customHeight="1">
      <c r="A78" s="15" t="inlineStr">
        <is>
          <t>hardware_m4_socket_cap_din912_head_height</t>
        </is>
      </c>
      <c r="B78" s="16" t="inlineStr">
        <is>
          <t>4.00</t>
        </is>
      </c>
      <c r="C78" s="17" t="inlineStr">
        <is>
          <t>mm</t>
        </is>
      </c>
      <c r="D78" s="18" t="inlineStr">
        <is>
          <t>M4 socket cap head height.</t>
        </is>
      </c>
      <c r="E78" s="19" t="inlineStr">
        <is>
          <t>4.00 mm</t>
        </is>
      </c>
    </row>
    <row r="79" ht="44" customHeight="1">
      <c r="A79" s="10" t="inlineStr">
        <is>
          <t>hardware_m5_socket_cap_din912_head_diameter</t>
        </is>
      </c>
      <c r="B79" s="11" t="inlineStr">
        <is>
          <t>8.50</t>
        </is>
      </c>
      <c r="C79" s="12" t="inlineStr">
        <is>
          <t>mm</t>
        </is>
      </c>
      <c r="D79" s="13" t="inlineStr">
        <is>
          <t>M5 socket cap head OD.</t>
        </is>
      </c>
      <c r="E79" s="14" t="inlineStr">
        <is>
          <t>8.50 mm</t>
        </is>
      </c>
    </row>
    <row r="80" ht="44" customHeight="1">
      <c r="A80" s="15" t="inlineStr">
        <is>
          <t>hardware_m5_socket_cap_din912_head_height</t>
        </is>
      </c>
      <c r="B80" s="16" t="inlineStr">
        <is>
          <t>5.00</t>
        </is>
      </c>
      <c r="C80" s="17" t="inlineStr">
        <is>
          <t>mm</t>
        </is>
      </c>
      <c r="D80" s="18" t="inlineStr">
        <is>
          <t>M5 socket cap head height.</t>
        </is>
      </c>
      <c r="E80" s="19" t="inlineStr">
        <is>
          <t>5.00 mm</t>
        </is>
      </c>
    </row>
    <row r="81" ht="44" customHeight="1">
      <c r="A81" s="10" t="inlineStr">
        <is>
          <t>hardware_m3_flat_head_din7991_head_diameter</t>
        </is>
      </c>
      <c r="B81" s="11" t="inlineStr">
        <is>
          <t>5.50</t>
        </is>
      </c>
      <c r="C81" s="12" t="inlineStr">
        <is>
          <t>mm</t>
        </is>
      </c>
      <c r="D81" s="13" t="inlineStr">
        <is>
          <t>M3 flat-head socket screw (DIN 7991 / ISO 10642) head OD.</t>
        </is>
      </c>
      <c r="E81" s="14" t="inlineStr">
        <is>
          <t>5.50 mm</t>
        </is>
      </c>
    </row>
    <row r="82" ht="44" customHeight="1">
      <c r="A82" s="15" t="inlineStr">
        <is>
          <t>hardware_m3_flat_head_din7991_head_height</t>
        </is>
      </c>
      <c r="B82" s="16" t="inlineStr">
        <is>
          <t>1.70</t>
        </is>
      </c>
      <c r="C82" s="17" t="inlineStr">
        <is>
          <t>mm</t>
        </is>
      </c>
      <c r="D82" s="18" t="inlineStr">
        <is>
          <t>M3 flat-head head height (below flush surface).</t>
        </is>
      </c>
      <c r="E82" s="19" t="inlineStr">
        <is>
          <t>1.70 mm</t>
        </is>
      </c>
    </row>
    <row r="83" ht="44" customHeight="1">
      <c r="A83" s="10" t="inlineStr">
        <is>
          <t>hardware_m4_flat_head_din7991_head_diameter</t>
        </is>
      </c>
      <c r="B83" s="11" t="inlineStr">
        <is>
          <t>7.00</t>
        </is>
      </c>
      <c r="C83" s="12" t="inlineStr">
        <is>
          <t>mm</t>
        </is>
      </c>
      <c r="D83" s="13" t="inlineStr">
        <is>
          <t>M4 flat-head head OD.</t>
        </is>
      </c>
      <c r="E83" s="14" t="inlineStr">
        <is>
          <t>7.00 mm</t>
        </is>
      </c>
    </row>
    <row r="84" ht="44" customHeight="1">
      <c r="A84" s="15" t="inlineStr">
        <is>
          <t>hardware_m5_flat_head_din7991_head_diameter</t>
        </is>
      </c>
      <c r="B84" s="16" t="inlineStr">
        <is>
          <t>8.50</t>
        </is>
      </c>
      <c r="C84" s="17" t="inlineStr">
        <is>
          <t>mm</t>
        </is>
      </c>
      <c r="D84" s="18" t="inlineStr">
        <is>
          <t>M5 flat-head head OD.</t>
        </is>
      </c>
      <c r="E84" s="19" t="inlineStr">
        <is>
          <t>8.50 mm</t>
        </is>
      </c>
    </row>
    <row r="85" ht="44" customHeight="1">
      <c r="A85" s="10" t="inlineStr">
        <is>
          <t>hardware_m3_grub_screw_common_lengths_mm</t>
        </is>
      </c>
      <c r="B85" s="11" t="inlineStr">
        <is>
          <t>3,4,5,6</t>
        </is>
      </c>
      <c r="C85" s="12" t="inlineStr">
        <is>
          <t>mm</t>
        </is>
      </c>
      <c r="D85" s="13" t="inlineStr">
        <is>
          <t>Common M3 grub/set screw lengths. For shaft collar and pulley lock design — model recess per chosen length.</t>
        </is>
      </c>
      <c r="E85" s="14" t="inlineStr">
        <is>
          <t>—</t>
        </is>
      </c>
    </row>
    <row r="86" ht="44" customHeight="1">
      <c r="A86" s="15" t="inlineStr">
        <is>
          <t>hardware_m4_grub_screw_common_lengths_mm</t>
        </is>
      </c>
      <c r="B86" s="16" t="inlineStr">
        <is>
          <t>4,5,6,8</t>
        </is>
      </c>
      <c r="C86" s="17" t="inlineStr">
        <is>
          <t>mm</t>
        </is>
      </c>
      <c r="D86" s="18" t="inlineStr">
        <is>
          <t>Common M4 grub screw lengths.</t>
        </is>
      </c>
      <c r="E86" s="19" t="inlineStr">
        <is>
          <t>—</t>
        </is>
      </c>
    </row>
    <row r="87" ht="44" customHeight="1">
      <c r="A87" s="10" t="inlineStr">
        <is>
          <t>hardware_m2_hex_nut_iso4032_across_flats</t>
        </is>
      </c>
      <c r="B87" s="11" t="inlineStr">
        <is>
          <t>4.00</t>
        </is>
      </c>
      <c r="C87" s="12" t="inlineStr">
        <is>
          <t>mm</t>
        </is>
      </c>
      <c r="D87" s="13" t="inlineStr">
        <is>
          <t>M2 hex nut AF (ISO 4032).</t>
        </is>
      </c>
      <c r="E87" s="14" t="inlineStr">
        <is>
          <t>4.00 mm</t>
        </is>
      </c>
    </row>
    <row r="88" ht="44" customHeight="1">
      <c r="A88" s="15" t="inlineStr">
        <is>
          <t>hardware_m2_hex_nut_iso4032_height</t>
        </is>
      </c>
      <c r="B88" s="16" t="inlineStr">
        <is>
          <t>1.60</t>
        </is>
      </c>
      <c r="C88" s="17" t="inlineStr">
        <is>
          <t>mm</t>
        </is>
      </c>
      <c r="D88" s="18" t="inlineStr">
        <is>
          <t>M2 hex nut height.</t>
        </is>
      </c>
      <c r="E88" s="19" t="inlineStr">
        <is>
          <t>1.60 mm</t>
        </is>
      </c>
    </row>
    <row r="89" ht="44" customHeight="1">
      <c r="A89" s="10" t="inlineStr">
        <is>
          <t>hardware_m2p5_hex_nut_iso4032_across_flats</t>
        </is>
      </c>
      <c r="B89" s="11" t="inlineStr">
        <is>
          <t>5.00</t>
        </is>
      </c>
      <c r="C89" s="12" t="inlineStr">
        <is>
          <t>mm</t>
        </is>
      </c>
      <c r="D89" s="13" t="inlineStr">
        <is>
          <t>M2.5 hex nut AF.</t>
        </is>
      </c>
      <c r="E89" s="14" t="inlineStr">
        <is>
          <t>5.00 mm</t>
        </is>
      </c>
    </row>
    <row r="90" ht="44" customHeight="1">
      <c r="A90" s="15" t="inlineStr">
        <is>
          <t>hardware_m2p5_hex_nut_iso4032_height</t>
        </is>
      </c>
      <c r="B90" s="16" t="inlineStr">
        <is>
          <t>2.00</t>
        </is>
      </c>
      <c r="C90" s="17" t="inlineStr">
        <is>
          <t>mm</t>
        </is>
      </c>
      <c r="D90" s="18" t="inlineStr">
        <is>
          <t>M2.5 hex nut height.</t>
        </is>
      </c>
      <c r="E90" s="19" t="inlineStr">
        <is>
          <t>2.00 mm</t>
        </is>
      </c>
    </row>
    <row r="91" ht="44" customHeight="1">
      <c r="A91" s="10" t="inlineStr">
        <is>
          <t>hardware_m3_hex_nut_iso4032_across_flats</t>
        </is>
      </c>
      <c r="B91" s="11" t="inlineStr">
        <is>
          <t>5.50</t>
        </is>
      </c>
      <c r="C91" s="12" t="inlineStr">
        <is>
          <t>mm</t>
        </is>
      </c>
      <c r="D91" s="13" t="inlineStr">
        <is>
          <t>M3 hex nut AF. Standard for Voron nut traps. FDM pocket: model at 5.70 mm.</t>
        </is>
      </c>
      <c r="E91" s="14" t="inlineStr">
        <is>
          <t>5.50 mm</t>
        </is>
      </c>
    </row>
    <row r="92" ht="44" customHeight="1">
      <c r="A92" s="15" t="inlineStr">
        <is>
          <t>hardware_m3_hex_nut_iso4032_height</t>
        </is>
      </c>
      <c r="B92" s="16" t="inlineStr">
        <is>
          <t>2.40</t>
        </is>
      </c>
      <c r="C92" s="17" t="inlineStr">
        <is>
          <t>mm</t>
        </is>
      </c>
      <c r="D92" s="18" t="inlineStr">
        <is>
          <t>M3 hex nut height. FDM pocket depth: model at 2.60 mm.</t>
        </is>
      </c>
      <c r="E92" s="19" t="inlineStr">
        <is>
          <t>2.40 mm</t>
        </is>
      </c>
    </row>
    <row r="93" ht="44" customHeight="1">
      <c r="A93" s="10" t="inlineStr">
        <is>
          <t>hardware_m4_hex_nut_iso4032_across_flats</t>
        </is>
      </c>
      <c r="B93" s="11" t="inlineStr">
        <is>
          <t>7.00</t>
        </is>
      </c>
      <c r="C93" s="12" t="inlineStr">
        <is>
          <t>mm</t>
        </is>
      </c>
      <c r="D93" s="13" t="inlineStr">
        <is>
          <t>M4 hex nut AF.</t>
        </is>
      </c>
      <c r="E93" s="14" t="inlineStr">
        <is>
          <t>7.00 mm</t>
        </is>
      </c>
    </row>
    <row r="94" ht="44" customHeight="1">
      <c r="A94" s="15" t="inlineStr">
        <is>
          <t>hardware_m4_hex_nut_iso4032_height</t>
        </is>
      </c>
      <c r="B94" s="16" t="inlineStr">
        <is>
          <t>3.20</t>
        </is>
      </c>
      <c r="C94" s="17" t="inlineStr">
        <is>
          <t>mm</t>
        </is>
      </c>
      <c r="D94" s="18" t="inlineStr">
        <is>
          <t>M4 hex nut height.</t>
        </is>
      </c>
      <c r="E94" s="19" t="inlineStr">
        <is>
          <t>3.20 mm</t>
        </is>
      </c>
    </row>
    <row r="95" ht="44" customHeight="1">
      <c r="A95" s="10" t="inlineStr">
        <is>
          <t>hardware_m5_hex_nut_iso4032_across_flats</t>
        </is>
      </c>
      <c r="B95" s="11" t="inlineStr">
        <is>
          <t>8.00</t>
        </is>
      </c>
      <c r="C95" s="12" t="inlineStr">
        <is>
          <t>mm</t>
        </is>
      </c>
      <c r="D95" s="13" t="inlineStr">
        <is>
          <t>M5 hex nut AF.</t>
        </is>
      </c>
      <c r="E95" s="14" t="inlineStr">
        <is>
          <t>8.00 mm</t>
        </is>
      </c>
    </row>
    <row r="96" ht="44" customHeight="1">
      <c r="A96" s="15" t="inlineStr">
        <is>
          <t>hardware_m5_hex_nut_iso4032_height</t>
        </is>
      </c>
      <c r="B96" s="16" t="inlineStr">
        <is>
          <t>4.00</t>
        </is>
      </c>
      <c r="C96" s="17" t="inlineStr">
        <is>
          <t>mm</t>
        </is>
      </c>
      <c r="D96" s="18" t="inlineStr">
        <is>
          <t>M5 hex nut height.</t>
        </is>
      </c>
      <c r="E96" s="19" t="inlineStr">
        <is>
          <t>4.00 mm</t>
        </is>
      </c>
    </row>
    <row r="97" ht="44" customHeight="1">
      <c r="A97" s="10" t="inlineStr">
        <is>
          <t>hardware_m3_square_nut_din557_width</t>
        </is>
      </c>
      <c r="B97" s="11" t="inlineStr">
        <is>
          <t>5.50</t>
        </is>
      </c>
      <c r="C97" s="12" t="inlineStr">
        <is>
          <t>mm</t>
        </is>
      </c>
      <c r="D97" s="13" t="inlineStr">
        <is>
          <t>M3 square nut (DIN 557) width. FDM trap: 5.70 mm slot.</t>
        </is>
      </c>
      <c r="E97" s="14" t="inlineStr">
        <is>
          <t>5.50 mm</t>
        </is>
      </c>
    </row>
    <row r="98" ht="44" customHeight="1">
      <c r="A98" s="15" t="inlineStr">
        <is>
          <t>hardware_m3_square_nut_din557_height</t>
        </is>
      </c>
      <c r="B98" s="16" t="inlineStr">
        <is>
          <t>1.80</t>
        </is>
      </c>
      <c r="C98" s="17" t="inlineStr">
        <is>
          <t>mm</t>
        </is>
      </c>
      <c r="D98" s="18" t="inlineStr">
        <is>
          <t>M3 square nut height. FDM trap depth: 2.00 mm.</t>
        </is>
      </c>
      <c r="E98" s="19" t="inlineStr">
        <is>
          <t>1.80 mm</t>
        </is>
      </c>
    </row>
    <row r="99" ht="44" customHeight="1">
      <c r="A99" s="10" t="inlineStr">
        <is>
          <t>hardware_m4_square_nut_din557_width</t>
        </is>
      </c>
      <c r="B99" s="11" t="inlineStr">
        <is>
          <t>7.00</t>
        </is>
      </c>
      <c r="C99" s="12" t="inlineStr">
        <is>
          <t>mm</t>
        </is>
      </c>
      <c r="D99" s="13" t="inlineStr">
        <is>
          <t>M4 square nut width.</t>
        </is>
      </c>
      <c r="E99" s="14" t="inlineStr">
        <is>
          <t>7.00 mm</t>
        </is>
      </c>
    </row>
    <row r="100" ht="44" customHeight="1">
      <c r="A100" s="15" t="inlineStr">
        <is>
          <t>hardware_m4_square_nut_din557_height</t>
        </is>
      </c>
      <c r="B100" s="16" t="inlineStr">
        <is>
          <t>2.40</t>
        </is>
      </c>
      <c r="C100" s="17" t="inlineStr">
        <is>
          <t>mm</t>
        </is>
      </c>
      <c r="D100" s="18" t="inlineStr">
        <is>
          <t>M4 square nut height.</t>
        </is>
      </c>
      <c r="E100" s="19" t="inlineStr">
        <is>
          <t>2.40 mm</t>
        </is>
      </c>
    </row>
    <row r="101" ht="44" customHeight="1">
      <c r="A101" s="10" t="inlineStr">
        <is>
          <t>hardware_m3_washer_iso7089_outer_diameter</t>
        </is>
      </c>
      <c r="B101" s="11" t="inlineStr">
        <is>
          <t>7.00</t>
        </is>
      </c>
      <c r="C101" s="12" t="inlineStr">
        <is>
          <t>mm</t>
        </is>
      </c>
      <c r="D101" s="13" t="inlineStr">
        <is>
          <t>M3 flat washer OD (ISO 7089 normal series).</t>
        </is>
      </c>
      <c r="E101" s="14" t="inlineStr">
        <is>
          <t>7.00 mm</t>
        </is>
      </c>
    </row>
    <row r="102" ht="44" customHeight="1">
      <c r="A102" s="15" t="inlineStr">
        <is>
          <t>hardware_m3_washer_iso7089_thickness</t>
        </is>
      </c>
      <c r="B102" s="16" t="inlineStr">
        <is>
          <t>0.50</t>
        </is>
      </c>
      <c r="C102" s="17" t="inlineStr">
        <is>
          <t>mm</t>
        </is>
      </c>
      <c r="D102" s="18" t="inlineStr">
        <is>
          <t>M3 flat washer thickness.</t>
        </is>
      </c>
      <c r="E102" s="19" t="inlineStr">
        <is>
          <t>0.50 mm</t>
        </is>
      </c>
    </row>
    <row r="103" ht="44" customHeight="1">
      <c r="A103" s="10" t="inlineStr">
        <is>
          <t>hardware_m4_washer_iso7089_outer_diameter</t>
        </is>
      </c>
      <c r="B103" s="11" t="inlineStr">
        <is>
          <t>9.00</t>
        </is>
      </c>
      <c r="C103" s="12" t="inlineStr">
        <is>
          <t>mm</t>
        </is>
      </c>
      <c r="D103" s="13" t="inlineStr">
        <is>
          <t>M4 flat washer OD.</t>
        </is>
      </c>
      <c r="E103" s="14" t="inlineStr">
        <is>
          <t>9.00 mm</t>
        </is>
      </c>
    </row>
    <row r="104" ht="44" customHeight="1">
      <c r="A104" s="15" t="inlineStr">
        <is>
          <t>hardware_m5_washer_iso7089_outer_diameter</t>
        </is>
      </c>
      <c r="B104" s="16" t="inlineStr">
        <is>
          <t>10.00</t>
        </is>
      </c>
      <c r="C104" s="17" t="inlineStr">
        <is>
          <t>mm</t>
        </is>
      </c>
      <c r="D104" s="18" t="inlineStr">
        <is>
          <t>M5 flat washer OD.</t>
        </is>
      </c>
      <c r="E104" s="19" t="inlineStr">
        <is>
          <t>10.00 mm</t>
        </is>
      </c>
    </row>
    <row r="105" ht="44" customHeight="1">
      <c r="A105" s="10" t="inlineStr">
        <is>
          <t>hardware_dowel_pin_m3_nominal_diameter_h6</t>
        </is>
      </c>
      <c r="B105" s="11" t="inlineStr">
        <is>
          <t>3.00</t>
        </is>
      </c>
      <c r="C105" s="12" t="inlineStr">
        <is>
          <t>mm</t>
        </is>
      </c>
      <c r="D105" s="13" t="inlineStr">
        <is>
          <t>ISO 8734 dowel pin h6 class — 3 mm nominal. For precision alignment features. FDM receiver hole: 3.10–3.15 mm for clearance fit, or post-ream for press fit.</t>
        </is>
      </c>
      <c r="E105" s="14" t="inlineStr">
        <is>
          <t>3.00 mm</t>
        </is>
      </c>
    </row>
    <row r="106" ht="44" customHeight="1">
      <c r="A106" s="15" t="inlineStr">
        <is>
          <t>hardware_dowel_pin_m4_nominal_diameter_h6</t>
        </is>
      </c>
      <c r="B106" s="16" t="inlineStr">
        <is>
          <t>4.00</t>
        </is>
      </c>
      <c r="C106" s="17" t="inlineStr">
        <is>
          <t>mm</t>
        </is>
      </c>
      <c r="D106" s="18" t="inlineStr">
        <is>
          <t>4 mm ISO dowel pin nominal diameter.</t>
        </is>
      </c>
      <c r="E106" s="19" t="inlineStr">
        <is>
          <t>4.00 mm</t>
        </is>
      </c>
    </row>
    <row r="107" ht="44" customHeight="1">
      <c r="A107" s="10" t="inlineStr">
        <is>
          <t>hardware_dowel_pin_m5_nominal_diameter_h6</t>
        </is>
      </c>
      <c r="B107" s="11" t="inlineStr">
        <is>
          <t>5.00</t>
        </is>
      </c>
      <c r="C107" s="12" t="inlineStr">
        <is>
          <t>mm</t>
        </is>
      </c>
      <c r="D107" s="13" t="inlineStr">
        <is>
          <t>5 mm ISO dowel pin nominal diameter.</t>
        </is>
      </c>
      <c r="E107" s="14" t="inlineStr">
        <is>
          <t>5.00 mm</t>
        </is>
      </c>
    </row>
    <row r="108" ht="44" customHeight="1">
      <c r="A108" s="15" t="inlineStr">
        <is>
          <t>hardware_dowel_pin_fdm_clearance_receiver_hole</t>
        </is>
      </c>
      <c r="B108" s="16" t="inlineStr">
        <is>
          <t>0.15</t>
        </is>
      </c>
      <c r="C108" s="17" t="inlineStr">
        <is>
          <t>mm</t>
        </is>
      </c>
      <c r="D108" s="18" t="inlineStr">
        <is>
          <t>Add to dowel pin nominal diameter for a printed clearance receiver hole — part self-aligns but pin is not retained. For retention, drill and ream to H7.</t>
        </is>
      </c>
      <c r="E108" s="19" t="inlineStr">
        <is>
          <t>0.15 mm</t>
        </is>
      </c>
    </row>
    <row r="109" ht="44" customHeight="1">
      <c r="A109" s="10" t="inlineStr">
        <is>
          <t>hardware_m3_hex_standoff_outer_diameter</t>
        </is>
      </c>
      <c r="B109" s="11" t="inlineStr">
        <is>
          <t>5.50</t>
        </is>
      </c>
      <c r="C109" s="12" t="inlineStr">
        <is>
          <t>mm</t>
        </is>
      </c>
      <c r="D109" s="13" t="inlineStr">
        <is>
          <t>M3 hex standoff OD — standard brass or aluminum spacers. Used for PCB mount boss sizing and clearance calculations.</t>
        </is>
      </c>
      <c r="E109" s="14" t="inlineStr">
        <is>
          <t>5.50 mm</t>
        </is>
      </c>
    </row>
    <row r="110" ht="44" customHeight="1">
      <c r="A110" s="15" t="inlineStr">
        <is>
          <t>hardware_m2p5_hex_standoff_outer_diameter</t>
        </is>
      </c>
      <c r="B110" s="16" t="inlineStr">
        <is>
          <t>4.50</t>
        </is>
      </c>
      <c r="C110" s="17" t="inlineStr">
        <is>
          <t>mm</t>
        </is>
      </c>
      <c r="D110" s="18" t="inlineStr">
        <is>
          <t>M2.5 hex standoff OD.</t>
        </is>
      </c>
      <c r="E110" s="19" t="inlineStr">
        <is>
          <t>4.50 mm</t>
        </is>
      </c>
    </row>
    <row r="111" ht="44" customHeight="1">
      <c r="A111" s="10" t="inlineStr">
        <is>
          <t>hardware_zip_tie_2p5mm_slot_width</t>
        </is>
      </c>
      <c r="B111" s="11" t="inlineStr">
        <is>
          <t>2.80</t>
        </is>
      </c>
      <c r="C111" s="12" t="inlineStr">
        <is>
          <t>mm</t>
        </is>
      </c>
      <c r="D111" s="13" t="inlineStr">
        <is>
          <t>Standard 2.5 mm zip tie slot width with FDM clearance. For cable management routing channels.</t>
        </is>
      </c>
      <c r="E111" s="14" t="inlineStr">
        <is>
          <t>2.80 mm</t>
        </is>
      </c>
    </row>
    <row r="112" ht="44" customHeight="1">
      <c r="A112" s="15" t="inlineStr">
        <is>
          <t>hardware_zip_tie_2p5mm_slot_thickness</t>
        </is>
      </c>
      <c r="B112" s="16" t="inlineStr">
        <is>
          <t>1.40</t>
        </is>
      </c>
      <c r="C112" s="17" t="inlineStr">
        <is>
          <t>mm</t>
        </is>
      </c>
      <c r="D112" s="18" t="inlineStr">
        <is>
          <t>Standard 2.5 mm zip tie slot thickness with FDM clearance.</t>
        </is>
      </c>
      <c r="E112" s="19" t="inlineStr">
        <is>
          <t>1.40 mm</t>
        </is>
      </c>
    </row>
    <row r="113" ht="44" customHeight="1">
      <c r="A113" s="10" t="inlineStr">
        <is>
          <t>hardware_zip_tie_3p5mm_slot_width</t>
        </is>
      </c>
      <c r="B113" s="11" t="inlineStr">
        <is>
          <t>3.80</t>
        </is>
      </c>
      <c r="C113" s="12" t="inlineStr">
        <is>
          <t>mm</t>
        </is>
      </c>
      <c r="D113" s="13" t="inlineStr">
        <is>
          <t>Standard 3.5 mm zip tie slot width with FDM clearance.</t>
        </is>
      </c>
      <c r="E113" s="14" t="inlineStr">
        <is>
          <t>3.80 mm</t>
        </is>
      </c>
    </row>
    <row r="114" ht="44" customHeight="1">
      <c r="A114" s="15" t="inlineStr">
        <is>
          <t>hardware_zip_tie_3p5mm_slot_thickness</t>
        </is>
      </c>
      <c r="B114" s="16" t="inlineStr">
        <is>
          <t>2.00</t>
        </is>
      </c>
      <c r="C114" s="17" t="inlineStr">
        <is>
          <t>mm</t>
        </is>
      </c>
      <c r="D114" s="18" t="inlineStr">
        <is>
          <t>Standard 3.5 mm zip tie slot thickness with FDM clearance.</t>
        </is>
      </c>
      <c r="E114" s="19" t="inlineStr">
        <is>
          <t>2.00 mm</t>
        </is>
      </c>
    </row>
    <row r="115" ht="18" customHeight="1">
      <c r="A115" s="4" t="inlineStr">
        <is>
          <t>🔢  NUT TRAP GEOMETRY  —  FDM-compensated pocket dimensions</t>
        </is>
      </c>
      <c r="B115" s="49" t="n"/>
      <c r="C115" s="49" t="n"/>
      <c r="D115" s="49" t="n"/>
      <c r="E115" s="50" t="n"/>
    </row>
    <row r="116" ht="44" customHeight="1">
      <c r="A116" s="10" t="inlineStr">
        <is>
          <t>nut_trap_m3_hex_pocket_across_flats_fdm</t>
        </is>
      </c>
      <c r="B116" s="11" t="inlineStr">
        <is>
          <t>5.70</t>
        </is>
      </c>
      <c r="C116" s="12" t="inlineStr">
        <is>
          <t>mm</t>
        </is>
      </c>
      <c r="D116" s="13" t="inlineStr">
        <is>
          <t>M3 hex nut pocket AF for FDM. ISO = 5.50 mm + 0.20 mm clearance.</t>
        </is>
      </c>
      <c r="E116" s="14" t="inlineStr">
        <is>
          <t>5.70 mm</t>
        </is>
      </c>
    </row>
    <row r="117" ht="44" customHeight="1">
      <c r="A117" s="15" t="inlineStr">
        <is>
          <t>nut_trap_m3_hex_pocket_depth_fdm</t>
        </is>
      </c>
      <c r="B117" s="16" t="inlineStr">
        <is>
          <t>2.60</t>
        </is>
      </c>
      <c r="C117" s="17" t="inlineStr">
        <is>
          <t>mm</t>
        </is>
      </c>
      <c r="D117" s="18" t="inlineStr">
        <is>
          <t>M3 hex nut pocket depth. ISO height 2.40 + 0.20 mm.</t>
        </is>
      </c>
      <c r="E117" s="19" t="inlineStr">
        <is>
          <t>2.60 mm</t>
        </is>
      </c>
    </row>
    <row r="118" ht="44" customHeight="1">
      <c r="A118" s="10" t="inlineStr">
        <is>
          <t>nut_trap_m3_hex_circumscribed_diameter_fdm</t>
        </is>
      </c>
      <c r="B118" s="11" t="inlineStr">
        <is>
          <t>6.60</t>
        </is>
      </c>
      <c r="C118" s="12" t="inlineStr">
        <is>
          <t>mm</t>
        </is>
      </c>
      <c r="D118" s="13" t="inlineStr">
        <is>
          <t>M3 hex nut circumscribed circle + clearance for polygon-pocket method.</t>
        </is>
      </c>
      <c r="E118" s="14" t="inlineStr">
        <is>
          <t>6.60 mm</t>
        </is>
      </c>
    </row>
    <row r="119" ht="44" customHeight="1">
      <c r="A119" s="15" t="inlineStr">
        <is>
          <t>nut_trap_m3_square_pocket_width_fdm</t>
        </is>
      </c>
      <c r="B119" s="16" t="inlineStr">
        <is>
          <t>5.70</t>
        </is>
      </c>
      <c r="C119" s="17" t="inlineStr">
        <is>
          <t>mm</t>
        </is>
      </c>
      <c r="D119" s="18" t="inlineStr">
        <is>
          <t>M3 square nut pocket width. ISO 5.50 + 0.20 mm.</t>
        </is>
      </c>
      <c r="E119" s="19" t="inlineStr">
        <is>
          <t>5.70 mm</t>
        </is>
      </c>
    </row>
    <row r="120" ht="44" customHeight="1">
      <c r="A120" s="10" t="inlineStr">
        <is>
          <t>nut_trap_m3_square_pocket_depth_fdm</t>
        </is>
      </c>
      <c r="B120" s="11" t="inlineStr">
        <is>
          <t>2.00</t>
        </is>
      </c>
      <c r="C120" s="12" t="inlineStr">
        <is>
          <t>mm</t>
        </is>
      </c>
      <c r="D120" s="13" t="inlineStr">
        <is>
          <t>M3 square nut pocket depth. ISO 1.80 + 0.20 mm.</t>
        </is>
      </c>
      <c r="E120" s="14" t="inlineStr">
        <is>
          <t>2.00 mm</t>
        </is>
      </c>
    </row>
    <row r="121" ht="44" customHeight="1">
      <c r="A121" s="15" t="inlineStr">
        <is>
          <t>nut_trap_m4_hex_pocket_across_flats_fdm</t>
        </is>
      </c>
      <c r="B121" s="16" t="inlineStr">
        <is>
          <t>7.20</t>
        </is>
      </c>
      <c r="C121" s="17" t="inlineStr">
        <is>
          <t>mm</t>
        </is>
      </c>
      <c r="D121" s="18" t="inlineStr">
        <is>
          <t>M4 hex nut pocket AF. ISO 7.00 + 0.20 mm.</t>
        </is>
      </c>
      <c r="E121" s="19" t="inlineStr">
        <is>
          <t>7.20 mm</t>
        </is>
      </c>
    </row>
    <row r="122" ht="44" customHeight="1">
      <c r="A122" s="10" t="inlineStr">
        <is>
          <t>nut_trap_m4_hex_pocket_depth_fdm</t>
        </is>
      </c>
      <c r="B122" s="11" t="inlineStr">
        <is>
          <t>3.40</t>
        </is>
      </c>
      <c r="C122" s="12" t="inlineStr">
        <is>
          <t>mm</t>
        </is>
      </c>
      <c r="D122" s="13" t="inlineStr">
        <is>
          <t>M4 hex nut pocket depth. ISO 3.20 + 0.20 mm.</t>
        </is>
      </c>
      <c r="E122" s="14" t="inlineStr">
        <is>
          <t>3.40 mm</t>
        </is>
      </c>
    </row>
    <row r="123" ht="44" customHeight="1">
      <c r="A123" s="15" t="inlineStr">
        <is>
          <t>nut_trap_m5_hex_pocket_across_flats_fdm</t>
        </is>
      </c>
      <c r="B123" s="16" t="inlineStr">
        <is>
          <t>8.20</t>
        </is>
      </c>
      <c r="C123" s="17" t="inlineStr">
        <is>
          <t>mm</t>
        </is>
      </c>
      <c r="D123" s="18" t="inlineStr">
        <is>
          <t>M5 hex nut pocket AF. ISO 8.00 + 0.20 mm.</t>
        </is>
      </c>
      <c r="E123" s="19" t="inlineStr">
        <is>
          <t>8.20 mm</t>
        </is>
      </c>
    </row>
    <row r="124" ht="44" customHeight="1">
      <c r="A124" s="10" t="inlineStr">
        <is>
          <t>nut_trap_m5_hex_pocket_depth_fdm</t>
        </is>
      </c>
      <c r="B124" s="11" t="inlineStr">
        <is>
          <t>4.20</t>
        </is>
      </c>
      <c r="C124" s="12" t="inlineStr">
        <is>
          <t>mm</t>
        </is>
      </c>
      <c r="D124" s="13" t="inlineStr">
        <is>
          <t>M5 hex nut pocket depth. ISO 4.00 + 0.20 mm.</t>
        </is>
      </c>
      <c r="E124" s="14" t="inlineStr">
        <is>
          <t>4.20 mm</t>
        </is>
      </c>
    </row>
    <row r="125" ht="18" customHeight="1">
      <c r="A125" s="4" t="inlineStr">
        <is>
          <t>⬇️  COUNTERBORES &amp; COUNTERSINKS  —  FDM pocket dims for recessed heads</t>
        </is>
      </c>
      <c r="B125" s="49" t="n"/>
      <c r="C125" s="49" t="n"/>
      <c r="D125" s="49" t="n"/>
      <c r="E125" s="50" t="n"/>
    </row>
    <row r="126" ht="44" customHeight="1">
      <c r="A126" s="15" t="inlineStr">
        <is>
          <t>counterbore_m2_button_head_pocket_diameter</t>
        </is>
      </c>
      <c r="B126" s="16" t="inlineStr">
        <is>
          <t>4.20</t>
        </is>
      </c>
      <c r="C126" s="17" t="inlineStr">
        <is>
          <t>mm</t>
        </is>
      </c>
      <c r="D126" s="18" t="inlineStr">
        <is>
          <t>M2 button-head counterbore dia. ISO head 3.80 + 0.40 mm FDM.</t>
        </is>
      </c>
      <c r="E126" s="19" t="inlineStr">
        <is>
          <t>4.20 mm</t>
        </is>
      </c>
    </row>
    <row r="127" ht="44" customHeight="1">
      <c r="A127" s="10" t="inlineStr">
        <is>
          <t>counterbore_m2_button_head_pocket_depth</t>
        </is>
      </c>
      <c r="B127" s="11" t="inlineStr">
        <is>
          <t>1.20</t>
        </is>
      </c>
      <c r="C127" s="12" t="inlineStr">
        <is>
          <t>mm</t>
        </is>
      </c>
      <c r="D127" s="13" t="inlineStr">
        <is>
          <t>M2 button-head counterbore depth. ISO head 0.90 + 0.30 mm.</t>
        </is>
      </c>
      <c r="E127" s="14" t="inlineStr">
        <is>
          <t>1.20 mm</t>
        </is>
      </c>
    </row>
    <row r="128" ht="44" customHeight="1">
      <c r="A128" s="15" t="inlineStr">
        <is>
          <t>counterbore_m2p5_button_head_pocket_diameter</t>
        </is>
      </c>
      <c r="B128" s="16" t="inlineStr">
        <is>
          <t>5.10</t>
        </is>
      </c>
      <c r="C128" s="17" t="inlineStr">
        <is>
          <t>mm</t>
        </is>
      </c>
      <c r="D128" s="18" t="inlineStr">
        <is>
          <t>M2.5 button-head counterbore dia. ISO head 4.70 + 0.40 mm.</t>
        </is>
      </c>
      <c r="E128" s="19" t="inlineStr">
        <is>
          <t>5.10 mm</t>
        </is>
      </c>
    </row>
    <row r="129" ht="44" customHeight="1">
      <c r="A129" s="10" t="inlineStr">
        <is>
          <t>counterbore_m2p5_button_head_pocket_depth</t>
        </is>
      </c>
      <c r="B129" s="11" t="inlineStr">
        <is>
          <t>1.60</t>
        </is>
      </c>
      <c r="C129" s="12" t="inlineStr">
        <is>
          <t>mm</t>
        </is>
      </c>
      <c r="D129" s="13" t="inlineStr">
        <is>
          <t>M2.5 button-head counterbore depth. ISO head 1.30 + 0.30 mm.</t>
        </is>
      </c>
      <c r="E129" s="14" t="inlineStr">
        <is>
          <t>1.60 mm</t>
        </is>
      </c>
    </row>
    <row r="130" ht="44" customHeight="1">
      <c r="A130" s="15" t="inlineStr">
        <is>
          <t>counterbore_m3_button_head_pocket_diameter</t>
        </is>
      </c>
      <c r="B130" s="16" t="inlineStr">
        <is>
          <t>6.10</t>
        </is>
      </c>
      <c r="C130" s="17" t="inlineStr">
        <is>
          <t>mm</t>
        </is>
      </c>
      <c r="D130" s="18" t="inlineStr">
        <is>
          <t>M3 button-head counterbore dia. ISO head 5.70 + 0.40 mm. Voron standard.</t>
        </is>
      </c>
      <c r="E130" s="19" t="inlineStr">
        <is>
          <t>6.10 mm</t>
        </is>
      </c>
    </row>
    <row r="131" ht="44" customHeight="1">
      <c r="A131" s="10" t="inlineStr">
        <is>
          <t>counterbore_m3_button_head_pocket_depth</t>
        </is>
      </c>
      <c r="B131" s="11" t="inlineStr">
        <is>
          <t>1.95</t>
        </is>
      </c>
      <c r="C131" s="12" t="inlineStr">
        <is>
          <t>mm</t>
        </is>
      </c>
      <c r="D131" s="13" t="inlineStr">
        <is>
          <t>M3 button-head counterbore depth. ISO head 1.65 + 0.30 mm.</t>
        </is>
      </c>
      <c r="E131" s="14" t="inlineStr">
        <is>
          <t>1.95 mm</t>
        </is>
      </c>
    </row>
    <row r="132" ht="44" customHeight="1">
      <c r="A132" s="15" t="inlineStr">
        <is>
          <t>counterbore_m3_socket_cap_pocket_diameter</t>
        </is>
      </c>
      <c r="B132" s="16" t="inlineStr">
        <is>
          <t>5.90</t>
        </is>
      </c>
      <c r="C132" s="17" t="inlineStr">
        <is>
          <t>mm</t>
        </is>
      </c>
      <c r="D132" s="18" t="inlineStr">
        <is>
          <t>M3 socket cap counterbore dia. ISO head 5.50 + 0.40 mm.</t>
        </is>
      </c>
      <c r="E132" s="19" t="inlineStr">
        <is>
          <t>5.90 mm</t>
        </is>
      </c>
    </row>
    <row r="133" ht="44" customHeight="1">
      <c r="A133" s="10" t="inlineStr">
        <is>
          <t>counterbore_m3_socket_cap_pocket_depth</t>
        </is>
      </c>
      <c r="B133" s="11" t="inlineStr">
        <is>
          <t>3.30</t>
        </is>
      </c>
      <c r="C133" s="12" t="inlineStr">
        <is>
          <t>mm</t>
        </is>
      </c>
      <c r="D133" s="13" t="inlineStr">
        <is>
          <t>M3 socket cap counterbore depth. ISO head 3.00 + 0.30 mm.</t>
        </is>
      </c>
      <c r="E133" s="14" t="inlineStr">
        <is>
          <t>3.30 mm</t>
        </is>
      </c>
    </row>
    <row r="134" ht="44" customHeight="1">
      <c r="A134" s="15" t="inlineStr">
        <is>
          <t>counterbore_m4_button_head_pocket_diameter</t>
        </is>
      </c>
      <c r="B134" s="16" t="inlineStr">
        <is>
          <t>8.00</t>
        </is>
      </c>
      <c r="C134" s="17" t="inlineStr">
        <is>
          <t>mm</t>
        </is>
      </c>
      <c r="D134" s="18" t="inlineStr">
        <is>
          <t>M4 button-head counterbore dia. ISO head 7.60 + 0.40 mm.</t>
        </is>
      </c>
      <c r="E134" s="19" t="inlineStr">
        <is>
          <t>8.00 mm</t>
        </is>
      </c>
    </row>
    <row r="135" ht="44" customHeight="1">
      <c r="A135" s="10" t="inlineStr">
        <is>
          <t>counterbore_m4_button_head_pocket_depth</t>
        </is>
      </c>
      <c r="B135" s="11" t="inlineStr">
        <is>
          <t>2.50</t>
        </is>
      </c>
      <c r="C135" s="12" t="inlineStr">
        <is>
          <t>mm</t>
        </is>
      </c>
      <c r="D135" s="13" t="inlineStr">
        <is>
          <t>M4 button-head counterbore depth. ISO head 2.20 + 0.30 mm.</t>
        </is>
      </c>
      <c r="E135" s="14" t="inlineStr">
        <is>
          <t>2.50 mm</t>
        </is>
      </c>
    </row>
    <row r="136" ht="44" customHeight="1">
      <c r="A136" s="15" t="inlineStr">
        <is>
          <t>counterbore_m5_button_head_pocket_diameter</t>
        </is>
      </c>
      <c r="B136" s="16" t="inlineStr">
        <is>
          <t>9.90</t>
        </is>
      </c>
      <c r="C136" s="17" t="inlineStr">
        <is>
          <t>mm</t>
        </is>
      </c>
      <c r="D136" s="18" t="inlineStr">
        <is>
          <t>M5 button-head counterbore dia.</t>
        </is>
      </c>
      <c r="E136" s="19" t="inlineStr">
        <is>
          <t>9.90 mm</t>
        </is>
      </c>
    </row>
    <row r="137" ht="44" customHeight="1">
      <c r="A137" s="10" t="inlineStr">
        <is>
          <t>countersink_metric_flat_head_angle_degrees</t>
        </is>
      </c>
      <c r="B137" s="11" t="inlineStr">
        <is>
          <t>90</t>
        </is>
      </c>
      <c r="C137" s="12" t="inlineStr">
        <is>
          <t>deg</t>
        </is>
      </c>
      <c r="D137" s="13" t="inlineStr">
        <is>
          <t>ISO metric flat-head included angle. 90° — NOT 82° (that is inch/UNC).</t>
        </is>
      </c>
      <c r="E137" s="14" t="inlineStr">
        <is>
          <t>90 deg</t>
        </is>
      </c>
    </row>
    <row r="138" ht="44" customHeight="1">
      <c r="A138" s="15" t="inlineStr">
        <is>
          <t>countersink_m3_flat_head_top_diameter</t>
        </is>
      </c>
      <c r="B138" s="16" t="inlineStr">
        <is>
          <t>6.00</t>
        </is>
      </c>
      <c r="C138" s="17" t="inlineStr">
        <is>
          <t>mm</t>
        </is>
      </c>
      <c r="D138" s="18" t="inlineStr">
        <is>
          <t>M3 flat-head countersink top opening. ISO head 5.50 + 0.50 mm.</t>
        </is>
      </c>
      <c r="E138" s="19" t="inlineStr">
        <is>
          <t>6.00 mm</t>
        </is>
      </c>
    </row>
    <row r="139" ht="44" customHeight="1">
      <c r="A139" s="10" t="inlineStr">
        <is>
          <t>countersink_m4_flat_head_top_diameter</t>
        </is>
      </c>
      <c r="B139" s="11" t="inlineStr">
        <is>
          <t>8.00</t>
        </is>
      </c>
      <c r="C139" s="12" t="inlineStr">
        <is>
          <t>mm</t>
        </is>
      </c>
      <c r="D139" s="13" t="inlineStr">
        <is>
          <t>M4 flat-head countersink top opening.</t>
        </is>
      </c>
      <c r="E139" s="14" t="inlineStr">
        <is>
          <t>8.00 mm</t>
        </is>
      </c>
    </row>
    <row r="140" ht="18" customHeight="1">
      <c r="A140" s="4" t="inlineStr">
        <is>
          <t>🧵  PRINTED THREADS  —  FDM clearance adjustments for ISO metric threads</t>
        </is>
      </c>
      <c r="B140" s="49" t="n"/>
      <c r="C140" s="49" t="n"/>
      <c r="D140" s="49" t="n"/>
      <c r="E140" s="50" t="n"/>
    </row>
    <row r="141" ht="44" customHeight="1">
      <c r="A141" s="15" t="inlineStr">
        <is>
          <t>thread_fdm_offset_face_per_flank_petg_abs</t>
        </is>
      </c>
      <c r="B141" s="16" t="inlineStr">
        <is>
          <t>-0.20</t>
        </is>
      </c>
      <c r="C141" s="17" t="inlineStr">
        <is>
          <t>mm</t>
        </is>
      </c>
      <c r="D141" s="18" t="inlineStr">
        <is>
          <t>Offset Face per thread flank for PETG/ABS printed threads. Apply to both bolt and nut/hole.</t>
        </is>
      </c>
      <c r="E141" s="19" t="inlineStr">
        <is>
          <t>-0.20 mm</t>
        </is>
      </c>
    </row>
    <row r="142" ht="44" customHeight="1">
      <c r="A142" s="10" t="inlineStr">
        <is>
          <t>thread_fdm_offset_face_per_flank_pla</t>
        </is>
      </c>
      <c r="B142" s="11" t="inlineStr">
        <is>
          <t>-0.15</t>
        </is>
      </c>
      <c r="C142" s="12" t="inlineStr">
        <is>
          <t>mm</t>
        </is>
      </c>
      <c r="D142" s="13" t="inlineStr">
        <is>
          <t>Offset Face per flank for PLA. PLA prints tighter; slightly less clearance needed.</t>
        </is>
      </c>
      <c r="E142" s="14" t="inlineStr">
        <is>
          <t>-0.15 mm</t>
        </is>
      </c>
    </row>
    <row r="143" ht="44" customHeight="1">
      <c r="A143" s="15" t="inlineStr">
        <is>
          <t>thread_fdm_addon_tolerance_profile_petg</t>
        </is>
      </c>
      <c r="B143" s="16" t="inlineStr">
        <is>
          <t>0.50</t>
        </is>
      </c>
      <c r="C143" s="17" t="inlineStr">
        <is>
          <t>mm</t>
        </is>
      </c>
      <c r="D143" s="18" t="inlineStr">
        <is>
          <t>ISO Metric Thread Profile add-in tolerance for PETG/ABS. Sweet spot 0.40–0.60 mm.</t>
        </is>
      </c>
      <c r="E143" s="19" t="inlineStr">
        <is>
          <t>0.50 mm</t>
        </is>
      </c>
    </row>
    <row r="144" ht="44" customHeight="1">
      <c r="A144" s="10" t="inlineStr">
        <is>
          <t>thread_fdm_addon_tolerance_profile_pla</t>
        </is>
      </c>
      <c r="B144" s="11" t="inlineStr">
        <is>
          <t>0.40</t>
        </is>
      </c>
      <c r="C144" s="12" t="inlineStr">
        <is>
          <t>mm</t>
        </is>
      </c>
      <c r="D144" s="13" t="inlineStr">
        <is>
          <t>ISO Metric Thread Profile add-in tolerance for PLA.</t>
        </is>
      </c>
      <c r="E144" s="14" t="inlineStr">
        <is>
          <t>0.40 mm</t>
        </is>
      </c>
    </row>
    <row r="145" ht="44" customHeight="1">
      <c r="A145" s="15" t="inlineStr">
        <is>
          <t>thread_iso_metric_pitch_m2</t>
        </is>
      </c>
      <c r="B145" s="16" t="inlineStr">
        <is>
          <t>0.40</t>
        </is>
      </c>
      <c r="C145" s="17" t="inlineStr">
        <is>
          <t>mm</t>
        </is>
      </c>
      <c r="D145" s="18" t="inlineStr">
        <is>
          <t>M2 coarse thread pitch. Reference for thread tool.</t>
        </is>
      </c>
      <c r="E145" s="19" t="inlineStr">
        <is>
          <t>0.40 mm</t>
        </is>
      </c>
    </row>
    <row r="146" ht="44" customHeight="1">
      <c r="A146" s="10" t="inlineStr">
        <is>
          <t>thread_iso_metric_pitch_m2p5</t>
        </is>
      </c>
      <c r="B146" s="11" t="inlineStr">
        <is>
          <t>0.45</t>
        </is>
      </c>
      <c r="C146" s="12" t="inlineStr">
        <is>
          <t>mm</t>
        </is>
      </c>
      <c r="D146" s="13" t="inlineStr">
        <is>
          <t>M2.5 coarse thread pitch.</t>
        </is>
      </c>
      <c r="E146" s="14" t="inlineStr">
        <is>
          <t>0.45 mm</t>
        </is>
      </c>
    </row>
    <row r="147" ht="44" customHeight="1">
      <c r="A147" s="15" t="inlineStr">
        <is>
          <t>thread_iso_metric_pitch_m3</t>
        </is>
      </c>
      <c r="B147" s="16" t="inlineStr">
        <is>
          <t>0.50</t>
        </is>
      </c>
      <c r="C147" s="17" t="inlineStr">
        <is>
          <t>mm</t>
        </is>
      </c>
      <c r="D147" s="18" t="inlineStr">
        <is>
          <t>M3 coarse thread pitch.</t>
        </is>
      </c>
      <c r="E147" s="19" t="inlineStr">
        <is>
          <t>0.50 mm</t>
        </is>
      </c>
    </row>
    <row r="148" ht="44" customHeight="1">
      <c r="A148" s="10" t="inlineStr">
        <is>
          <t>thread_iso_metric_pitch_m4</t>
        </is>
      </c>
      <c r="B148" s="11" t="inlineStr">
        <is>
          <t>0.70</t>
        </is>
      </c>
      <c r="C148" s="12" t="inlineStr">
        <is>
          <t>mm</t>
        </is>
      </c>
      <c r="D148" s="13" t="inlineStr">
        <is>
          <t>M4 coarse thread pitch.</t>
        </is>
      </c>
      <c r="E148" s="14" t="inlineStr">
        <is>
          <t>0.70 mm</t>
        </is>
      </c>
    </row>
    <row r="149" ht="44" customHeight="1">
      <c r="A149" s="15" t="inlineStr">
        <is>
          <t>thread_iso_metric_pitch_m5</t>
        </is>
      </c>
      <c r="B149" s="16" t="inlineStr">
        <is>
          <t>0.80</t>
        </is>
      </c>
      <c r="C149" s="17" t="inlineStr">
        <is>
          <t>mm</t>
        </is>
      </c>
      <c r="D149" s="18" t="inlineStr">
        <is>
          <t>M5 coarse thread pitch.</t>
        </is>
      </c>
      <c r="E149" s="19" t="inlineStr">
        <is>
          <t>0.80 mm</t>
        </is>
      </c>
    </row>
    <row r="150" ht="44" customHeight="1">
      <c r="A150" s="10" t="inlineStr">
        <is>
          <t>thread_iso_metric_pitch_m6</t>
        </is>
      </c>
      <c r="B150" s="11" t="inlineStr">
        <is>
          <t>1.00</t>
        </is>
      </c>
      <c r="C150" s="12" t="inlineStr">
        <is>
          <t>mm</t>
        </is>
      </c>
      <c r="D150" s="13" t="inlineStr">
        <is>
          <t>M6 coarse thread pitch.</t>
        </is>
      </c>
      <c r="E150" s="14" t="inlineStr">
        <is>
          <t>1.00 mm</t>
        </is>
      </c>
    </row>
    <row r="151" ht="18" customHeight="1">
      <c r="A151" s="4" t="inlineStr">
        <is>
          <t>🧱  WALL THICKNESS &amp; STRUCTURE  —  derived from extrusion line width</t>
        </is>
      </c>
      <c r="B151" s="49" t="n"/>
      <c r="C151" s="49" t="n"/>
      <c r="D151" s="49" t="n"/>
      <c r="E151" s="50" t="n"/>
    </row>
    <row r="152" ht="44" customHeight="1">
      <c r="A152" s="15" t="inlineStr">
        <is>
          <t>wall_thickness_minimum_functional_2_perimeters</t>
        </is>
      </c>
      <c r="B152" s="16">
        <f>2*printer_accuracy_extrusion_line_width</f>
        <v/>
      </c>
      <c r="C152" s="17" t="inlineStr">
        <is>
          <t>mm</t>
        </is>
      </c>
      <c r="D152" s="18" t="inlineStr">
        <is>
          <t>Minimum functional wall — 2 perimeters. Non-structural enclosures only.</t>
        </is>
      </c>
      <c r="E152" s="19">
        <f>2*printer_accuracy_extrusion_line_width</f>
        <v/>
      </c>
    </row>
    <row r="153" ht="44" customHeight="1">
      <c r="A153" s="10" t="inlineStr">
        <is>
          <t>wall_thickness_recommended_structural_4_perims</t>
        </is>
      </c>
      <c r="B153" s="11">
        <f>4*printer_accuracy_extrusion_line_width</f>
        <v/>
      </c>
      <c r="C153" s="12" t="inlineStr">
        <is>
          <t>mm</t>
        </is>
      </c>
      <c r="D153" s="13" t="inlineStr">
        <is>
          <t>Standard structural wall — 4 perimeters. Voron default for load-bearing features.</t>
        </is>
      </c>
      <c r="E153" s="14">
        <f>4*printer_accuracy_extrusion_line_width</f>
        <v/>
      </c>
    </row>
    <row r="154" ht="44" customHeight="1">
      <c r="A154" s="15" t="inlineStr">
        <is>
          <t>wall_thickness_heavy_duty_6_perimeters</t>
        </is>
      </c>
      <c r="B154" s="16">
        <f>6*printer_accuracy_extrusion_line_width</f>
        <v/>
      </c>
      <c r="C154" s="17" t="inlineStr">
        <is>
          <t>mm</t>
        </is>
      </c>
      <c r="D154" s="18" t="inlineStr">
        <is>
          <t>Heavy-duty — 6 perimeters. Motor mounts, idler towers, sustained dynamic loads.</t>
        </is>
      </c>
      <c r="E154" s="19">
        <f>6*printer_accuracy_extrusion_line_width</f>
        <v/>
      </c>
    </row>
    <row r="155" ht="44" customHeight="1">
      <c r="A155" s="10" t="inlineStr">
        <is>
          <t>fillet_radius_minimum_internal_stress_relief</t>
        </is>
      </c>
      <c r="B155" s="11">
        <f>printer_accuracy_standard_layer_height*2</f>
        <v/>
      </c>
      <c r="C155" s="12" t="inlineStr">
        <is>
          <t>mm</t>
        </is>
      </c>
      <c r="D155" s="13" t="inlineStr">
        <is>
          <t>Minimum internal fillet to prevent delamination. 2× layer height.</t>
        </is>
      </c>
      <c r="E155" s="14">
        <f>printer_accuracy_standard_layer_height*2</f>
        <v/>
      </c>
    </row>
    <row r="156" ht="44" customHeight="1">
      <c r="A156" s="15" t="inlineStr">
        <is>
          <t>fillet_radius_standard_external_cosmetic</t>
        </is>
      </c>
      <c r="B156" s="16" t="inlineStr">
        <is>
          <t>1.00</t>
        </is>
      </c>
      <c r="C156" s="17" t="inlineStr">
        <is>
          <t>mm</t>
        </is>
      </c>
      <c r="D156" s="18" t="inlineStr">
        <is>
          <t>Standard external edge fillet — aesthetics and chipping resistance.</t>
        </is>
      </c>
      <c r="E156" s="19" t="inlineStr">
        <is>
          <t>1.00 mm</t>
        </is>
      </c>
    </row>
    <row r="157" ht="44" customHeight="1">
      <c r="A157" s="10" t="inlineStr">
        <is>
          <t>fillet_radius_large_structural_gusset</t>
        </is>
      </c>
      <c r="B157" s="11" t="inlineStr">
        <is>
          <t>3.00</t>
        </is>
      </c>
      <c r="C157" s="12" t="inlineStr">
        <is>
          <t>mm</t>
        </is>
      </c>
      <c r="D157" s="13" t="inlineStr">
        <is>
          <t>Large gusset fillet for high-stress junctions (toolhead arms, motor mounts).</t>
        </is>
      </c>
      <c r="E157" s="14" t="inlineStr">
        <is>
          <t>3.00 mm</t>
        </is>
      </c>
    </row>
    <row r="158" ht="44" customHeight="1">
      <c r="A158" s="15" t="inlineStr">
        <is>
          <t>chamfer_depth_standard_45_degree</t>
        </is>
      </c>
      <c r="B158" s="16" t="inlineStr">
        <is>
          <t>0.50</t>
        </is>
      </c>
      <c r="C158" s="17" t="inlineStr">
        <is>
          <t>mm</t>
        </is>
      </c>
      <c r="D158" s="18" t="inlineStr">
        <is>
          <t>Standard 45° chamfer for edge breaking and hole lead-ins.</t>
        </is>
      </c>
      <c r="E158" s="19" t="inlineStr">
        <is>
          <t>0.50 mm</t>
        </is>
      </c>
    </row>
    <row r="159" ht="44" customHeight="1">
      <c r="A159" s="10" t="inlineStr">
        <is>
          <t>chamfer_depth_lead_in_for_pin_insertion</t>
        </is>
      </c>
      <c r="B159" s="11" t="inlineStr">
        <is>
          <t>0.80</t>
        </is>
      </c>
      <c r="C159" s="12" t="inlineStr">
        <is>
          <t>mm</t>
        </is>
      </c>
      <c r="D159" s="13" t="inlineStr">
        <is>
          <t>Larger lead-in chamfer for pin/shaft insertion guidance.</t>
        </is>
      </c>
      <c r="E159" s="14" t="inlineStr">
        <is>
          <t>0.80 mm</t>
        </is>
      </c>
    </row>
    <row r="160" ht="18" customHeight="1">
      <c r="A160" s="4" t="inlineStr">
        <is>
          <t>📐  OVERHANGS &amp; BRIDGING</t>
        </is>
      </c>
      <c r="B160" s="49" t="n"/>
      <c r="C160" s="49" t="n"/>
      <c r="D160" s="49" t="n"/>
      <c r="E160" s="50" t="n"/>
    </row>
    <row r="161" ht="44" customHeight="1">
      <c r="A161" s="15" t="inlineStr">
        <is>
          <t>overhang_maximum_angle_from_vertical_standard</t>
        </is>
      </c>
      <c r="B161" s="16" t="inlineStr">
        <is>
          <t>50</t>
        </is>
      </c>
      <c r="C161" s="17" t="inlineStr">
        <is>
          <t>deg</t>
        </is>
      </c>
      <c r="D161" s="18" t="inlineStr">
        <is>
          <t>Max unsupported overhang from vertical on standard machines.</t>
        </is>
      </c>
      <c r="E161" s="19" t="inlineStr">
        <is>
          <t>50 deg</t>
        </is>
      </c>
    </row>
    <row r="162" ht="44" customHeight="1">
      <c r="A162" s="10" t="inlineStr">
        <is>
          <t>overhang_maximum_angle_high_perf_cpap</t>
        </is>
      </c>
      <c r="B162" s="11" t="inlineStr">
        <is>
          <t>70</t>
        </is>
      </c>
      <c r="C162" s="12" t="inlineStr">
        <is>
          <t>deg</t>
        </is>
      </c>
      <c r="D162" s="13" t="inlineStr">
        <is>
          <t>Max overhang with aggressive cooling (CPAP). K3 with SLM XY can reliably hit 65–70°.</t>
        </is>
      </c>
      <c r="E162" s="14" t="inlineStr">
        <is>
          <t>70 deg</t>
        </is>
      </c>
    </row>
    <row r="163" ht="44" customHeight="1">
      <c r="A163" s="15" t="inlineStr">
        <is>
          <t>bridge_maximum_reliable_span_with_tuning</t>
        </is>
      </c>
      <c r="B163" s="16" t="inlineStr">
        <is>
          <t>60</t>
        </is>
      </c>
      <c r="C163" s="17" t="inlineStr">
        <is>
          <t>mm</t>
        </is>
      </c>
      <c r="D163" s="18" t="inlineStr">
        <is>
          <t>Max bridge span on well-tuned FDM at 30–60 mm/s bridging speed. Highly material-dependent.</t>
        </is>
      </c>
      <c r="E163" s="19" t="inlineStr">
        <is>
          <t>60 mm</t>
        </is>
      </c>
    </row>
    <row r="164" ht="44" customHeight="1">
      <c r="A164" s="10" t="inlineStr">
        <is>
          <t>bridge_long_span_sag_z_compensation</t>
        </is>
      </c>
      <c r="B164" s="11">
        <f>printer_accuracy_standard_layer_height*2</f>
        <v/>
      </c>
      <c r="C164" s="12" t="inlineStr">
        <is>
          <t>mm</t>
        </is>
      </c>
      <c r="D164" s="13" t="inlineStr">
        <is>
          <t>Z compensation for bridge sag on long spans — raise ceiling by this amount.</t>
        </is>
      </c>
      <c r="E164" s="14">
        <f>printer_accuracy_standard_layer_height*2</f>
        <v/>
      </c>
    </row>
    <row r="165" ht="18" customHeight="1">
      <c r="A165" s="4" t="inlineStr">
        <is>
          <t>🧲  MAGNETS &amp; MAGNETIC RETENTION  —  neodymium disc, N52</t>
        </is>
      </c>
      <c r="B165" s="49" t="n"/>
      <c r="C165" s="49" t="n"/>
      <c r="D165" s="49" t="n"/>
      <c r="E165" s="50" t="n"/>
    </row>
    <row r="166" ht="44" customHeight="1">
      <c r="A166" s="15" t="inlineStr">
        <is>
          <t>magnet_disc_6x2mm_outer_diameter</t>
        </is>
      </c>
      <c r="B166" s="16" t="inlineStr">
        <is>
          <t>6.00</t>
        </is>
      </c>
      <c r="C166" s="17" t="inlineStr">
        <is>
          <t>mm</t>
        </is>
      </c>
      <c r="D166" s="18" t="inlineStr">
        <is>
          <t>6×2 mm N52 neodymium disc magnet OD. Very common for panel clips and small latches.</t>
        </is>
      </c>
      <c r="E166" s="19" t="inlineStr">
        <is>
          <t>6.00 mm</t>
        </is>
      </c>
    </row>
    <row r="167" ht="44" customHeight="1">
      <c r="A167" s="10" t="inlineStr">
        <is>
          <t>magnet_disc_6x2mm_height</t>
        </is>
      </c>
      <c r="B167" s="11" t="inlineStr">
        <is>
          <t>2.00</t>
        </is>
      </c>
      <c r="C167" s="12" t="inlineStr">
        <is>
          <t>mm</t>
        </is>
      </c>
      <c r="D167" s="13" t="inlineStr">
        <is>
          <t>6×2 mm magnet height.</t>
        </is>
      </c>
      <c r="E167" s="14" t="inlineStr">
        <is>
          <t>2.00 mm</t>
        </is>
      </c>
    </row>
    <row r="168" ht="44" customHeight="1">
      <c r="A168" s="15" t="inlineStr">
        <is>
          <t>magnet_disc_6x3mm_outer_diameter</t>
        </is>
      </c>
      <c r="B168" s="16" t="inlineStr">
        <is>
          <t>6.00</t>
        </is>
      </c>
      <c r="C168" s="17" t="inlineStr">
        <is>
          <t>mm</t>
        </is>
      </c>
      <c r="D168" s="18" t="inlineStr">
        <is>
          <t>6×3 mm disc magnet OD.</t>
        </is>
      </c>
      <c r="E168" s="19" t="inlineStr">
        <is>
          <t>6.00 mm</t>
        </is>
      </c>
    </row>
    <row r="169" ht="44" customHeight="1">
      <c r="A169" s="10" t="inlineStr">
        <is>
          <t>magnet_disc_6x3mm_height</t>
        </is>
      </c>
      <c r="B169" s="11" t="inlineStr">
        <is>
          <t>3.00</t>
        </is>
      </c>
      <c r="C169" s="12" t="inlineStr">
        <is>
          <t>mm</t>
        </is>
      </c>
      <c r="D169" s="13" t="inlineStr">
        <is>
          <t>6×3 mm disc magnet height.</t>
        </is>
      </c>
      <c r="E169" s="14" t="inlineStr">
        <is>
          <t>3.00 mm</t>
        </is>
      </c>
    </row>
    <row r="170" ht="44" customHeight="1">
      <c r="A170" s="15" t="inlineStr">
        <is>
          <t>magnet_disc_8x2mm_outer_diameter</t>
        </is>
      </c>
      <c r="B170" s="16" t="inlineStr">
        <is>
          <t>8.00</t>
        </is>
      </c>
      <c r="C170" s="17" t="inlineStr">
        <is>
          <t>mm</t>
        </is>
      </c>
      <c r="D170" s="18" t="inlineStr">
        <is>
          <t>8×2 mm N52 disc magnet OD. Common for toolhead docking (Tap, Klicky, etc.).</t>
        </is>
      </c>
      <c r="E170" s="19" t="inlineStr">
        <is>
          <t>8.00 mm</t>
        </is>
      </c>
    </row>
    <row r="171" ht="44" customHeight="1">
      <c r="A171" s="10" t="inlineStr">
        <is>
          <t>magnet_disc_8x2mm_height</t>
        </is>
      </c>
      <c r="B171" s="11" t="inlineStr">
        <is>
          <t>2.00</t>
        </is>
      </c>
      <c r="C171" s="12" t="inlineStr">
        <is>
          <t>mm</t>
        </is>
      </c>
      <c r="D171" s="13" t="inlineStr">
        <is>
          <t>8×2 mm magnet height.</t>
        </is>
      </c>
      <c r="E171" s="14" t="inlineStr">
        <is>
          <t>2.00 mm</t>
        </is>
      </c>
    </row>
    <row r="172" ht="44" customHeight="1">
      <c r="A172" s="15" t="inlineStr">
        <is>
          <t>magnet_disc_10x2mm_outer_diameter</t>
        </is>
      </c>
      <c r="B172" s="16" t="inlineStr">
        <is>
          <t>10.00</t>
        </is>
      </c>
      <c r="C172" s="17" t="inlineStr">
        <is>
          <t>mm</t>
        </is>
      </c>
      <c r="D172" s="18" t="inlineStr">
        <is>
          <t>10×2 mm N52 disc magnet OD. Common for enclosure door catches and panel latches.</t>
        </is>
      </c>
      <c r="E172" s="19" t="inlineStr">
        <is>
          <t>10.00 mm</t>
        </is>
      </c>
    </row>
    <row r="173" ht="44" customHeight="1">
      <c r="A173" s="10" t="inlineStr">
        <is>
          <t>magnet_disc_10x2mm_height</t>
        </is>
      </c>
      <c r="B173" s="11" t="inlineStr">
        <is>
          <t>2.00</t>
        </is>
      </c>
      <c r="C173" s="12" t="inlineStr">
        <is>
          <t>mm</t>
        </is>
      </c>
      <c r="D173" s="13" t="inlineStr">
        <is>
          <t>10×2 mm magnet height.</t>
        </is>
      </c>
      <c r="E173" s="14" t="inlineStr">
        <is>
          <t>2.00 mm</t>
        </is>
      </c>
    </row>
    <row r="174" ht="44" customHeight="1">
      <c r="A174" s="15" t="inlineStr">
        <is>
          <t>magnet_disc_10x3mm_outer_diameter</t>
        </is>
      </c>
      <c r="B174" s="16" t="inlineStr">
        <is>
          <t>10.00</t>
        </is>
      </c>
      <c r="C174" s="17" t="inlineStr">
        <is>
          <t>mm</t>
        </is>
      </c>
      <c r="D174" s="18" t="inlineStr">
        <is>
          <t>10×3 mm disc magnet OD.</t>
        </is>
      </c>
      <c r="E174" s="19" t="inlineStr">
        <is>
          <t>10.00 mm</t>
        </is>
      </c>
    </row>
    <row r="175" ht="44" customHeight="1">
      <c r="A175" s="10" t="inlineStr">
        <is>
          <t>magnet_disc_10x3mm_height</t>
        </is>
      </c>
      <c r="B175" s="11" t="inlineStr">
        <is>
          <t>3.00</t>
        </is>
      </c>
      <c r="C175" s="12" t="inlineStr">
        <is>
          <t>mm</t>
        </is>
      </c>
      <c r="D175" s="13" t="inlineStr">
        <is>
          <t>10×3 mm magnet height.</t>
        </is>
      </c>
      <c r="E175" s="14" t="inlineStr">
        <is>
          <t>3.00 mm</t>
        </is>
      </c>
    </row>
    <row r="176" ht="44" customHeight="1">
      <c r="A176" s="15" t="inlineStr">
        <is>
          <t>magnet_pocket_press_fit_clearance_per_side</t>
        </is>
      </c>
      <c r="B176" s="16" t="inlineStr">
        <is>
          <t>-0.10</t>
        </is>
      </c>
      <c r="C176" s="17" t="inlineStr">
        <is>
          <t>mm</t>
        </is>
      </c>
      <c r="D176" s="18" t="inlineStr">
        <is>
          <t>Magnet pocket press-fit clearance per side. Model pocket SMALLER than magnet OD by this. Magnet will require a press — use a flat surface and tap gently.</t>
        </is>
      </c>
      <c r="E176" s="19" t="inlineStr">
        <is>
          <t>-0.10 mm</t>
        </is>
      </c>
    </row>
    <row r="177" ht="44" customHeight="1">
      <c r="A177" s="10" t="inlineStr">
        <is>
          <t>magnet_pocket_glue_gap_clearance_per_side</t>
        </is>
      </c>
      <c r="B177" s="11" t="inlineStr">
        <is>
          <t>0.15</t>
        </is>
      </c>
      <c r="C177" s="12" t="inlineStr">
        <is>
          <t>mm</t>
        </is>
      </c>
      <c r="D177" s="13" t="inlineStr">
        <is>
          <t>Magnet pocket clearance per side for CA/epoxy retention. Magnet drops in freely; adhesive fills the gap. Do not use press fit if gluing.</t>
        </is>
      </c>
      <c r="E177" s="14" t="inlineStr">
        <is>
          <t>0.15 mm</t>
        </is>
      </c>
    </row>
    <row r="178" ht="44" customHeight="1">
      <c r="A178" s="15" t="inlineStr">
        <is>
          <t>magnet_pocket_depth_flush_recess</t>
        </is>
      </c>
      <c r="B178" s="16" t="inlineStr">
        <is>
          <t>0.20</t>
        </is>
      </c>
      <c r="C178" s="17" t="inlineStr">
        <is>
          <t>mm</t>
        </is>
      </c>
      <c r="D178" s="18" t="inlineStr">
        <is>
          <t>Recess magnet below surface by this amount so it doesn't protrude. Protruding magnets interfere with flush mating surfaces.</t>
        </is>
      </c>
      <c r="E178" s="19" t="inlineStr">
        <is>
          <t>0.20 mm</t>
        </is>
      </c>
    </row>
    <row r="179" ht="44" customHeight="1">
      <c r="A179" s="10" t="inlineStr">
        <is>
          <t>magnet_warhammer_base_transport_6x2_pocket_id</t>
        </is>
      </c>
      <c r="B179" s="11" t="inlineStr">
        <is>
          <t>6.10</t>
        </is>
      </c>
      <c r="C179" s="12" t="inlineStr">
        <is>
          <t>mm</t>
        </is>
      </c>
      <c r="D179" s="13" t="inlineStr">
        <is>
          <t>6×2 mm magnet pocket ID for Warhammer base transport trays — slight clearance for reliable drop-in placement with glue.</t>
        </is>
      </c>
      <c r="E179" s="14" t="inlineStr">
        <is>
          <t>6.10 mm</t>
        </is>
      </c>
    </row>
    <row r="180" ht="18" customHeight="1">
      <c r="A180" s="4" t="inlineStr">
        <is>
          <t>⚙️  MOTION SYSTEM HARDWARE  —  K3 / V-Core 3.1 / BabyBelt / Doomcube</t>
        </is>
      </c>
      <c r="B180" s="49" t="n"/>
      <c r="C180" s="49" t="n"/>
      <c r="D180" s="49" t="n"/>
      <c r="E180" s="50" t="n"/>
    </row>
    <row r="181" ht="44" customHeight="1">
      <c r="A181" s="15" t="inlineStr">
        <is>
          <t>motion_mgn7h_rail_nominal_width</t>
        </is>
      </c>
      <c r="B181" s="16" t="inlineStr">
        <is>
          <t>7.00</t>
        </is>
      </c>
      <c r="C181" s="17" t="inlineStr">
        <is>
          <t>mm</t>
        </is>
      </c>
      <c r="D181" s="18" t="inlineStr">
        <is>
          <t>MGN7H linear rail nominal width. Lightweight option for low-mass toolheads.</t>
        </is>
      </c>
      <c r="E181" s="19" t="inlineStr">
        <is>
          <t>7.00 mm</t>
        </is>
      </c>
    </row>
    <row r="182" ht="44" customHeight="1">
      <c r="A182" s="10" t="inlineStr">
        <is>
          <t>motion_mgn9h_rail_nominal_width</t>
        </is>
      </c>
      <c r="B182" s="11" t="inlineStr">
        <is>
          <t>9.00</t>
        </is>
      </c>
      <c r="C182" s="12" t="inlineStr">
        <is>
          <t>mm</t>
        </is>
      </c>
      <c r="D182" s="13" t="inlineStr">
        <is>
          <t>MGN9H rail nominal width.</t>
        </is>
      </c>
      <c r="E182" s="14" t="inlineStr">
        <is>
          <t>9.00 mm</t>
        </is>
      </c>
    </row>
    <row r="183" ht="44" customHeight="1">
      <c r="A183" s="15" t="inlineStr">
        <is>
          <t>motion_mgn12h_rail_nominal_width</t>
        </is>
      </c>
      <c r="B183" s="16" t="inlineStr">
        <is>
          <t>12.00</t>
        </is>
      </c>
      <c r="C183" s="17" t="inlineStr">
        <is>
          <t>mm</t>
        </is>
      </c>
      <c r="D183" s="18" t="inlineStr">
        <is>
          <t>MGN12H rail nominal width. Standard on V-Core 3.1 AWD Y and Z.</t>
        </is>
      </c>
      <c r="E183" s="19" t="inlineStr">
        <is>
          <t>12.00 mm</t>
        </is>
      </c>
    </row>
    <row r="184" ht="44" customHeight="1">
      <c r="A184" s="10" t="inlineStr">
        <is>
          <t>motion_mgn15h_rail_nominal_width</t>
        </is>
      </c>
      <c r="B184" s="11" t="inlineStr">
        <is>
          <t>15.00</t>
        </is>
      </c>
      <c r="C184" s="12" t="inlineStr">
        <is>
          <t>mm</t>
        </is>
      </c>
      <c r="D184" s="13" t="inlineStr">
        <is>
          <t>MGN15H rail nominal width. Heavy-duty gantry / Z axes.</t>
        </is>
      </c>
      <c r="E184" s="14" t="inlineStr">
        <is>
          <t>15.00 mm</t>
        </is>
      </c>
    </row>
    <row r="185" ht="44" customHeight="1">
      <c r="A185" s="15" t="inlineStr">
        <is>
          <t>motion_mgn12h_carriage_block_length</t>
        </is>
      </c>
      <c r="B185" s="16" t="inlineStr">
        <is>
          <t>45.00</t>
        </is>
      </c>
      <c r="C185" s="17" t="inlineStr">
        <is>
          <t>mm</t>
        </is>
      </c>
      <c r="D185" s="18" t="inlineStr">
        <is>
          <t>MGN12H H-type carriage block length. Used for toolhead plate sizing and hole pattern layout.</t>
        </is>
      </c>
      <c r="E185" s="19" t="inlineStr">
        <is>
          <t>45.00 mm</t>
        </is>
      </c>
    </row>
    <row r="186" ht="44" customHeight="1">
      <c r="A186" s="10" t="inlineStr">
        <is>
          <t>motion_mgn12h_carriage_hole_pitch_along_rail</t>
        </is>
      </c>
      <c r="B186" s="11" t="inlineStr">
        <is>
          <t>20.00</t>
        </is>
      </c>
      <c r="C186" s="12" t="inlineStr">
        <is>
          <t>mm</t>
        </is>
      </c>
      <c r="D186" s="13" t="inlineStr">
        <is>
          <t>MGN12H carriage mounting hole pitch — along rail axis.</t>
        </is>
      </c>
      <c r="E186" s="14" t="inlineStr">
        <is>
          <t>20.00 mm</t>
        </is>
      </c>
    </row>
    <row r="187" ht="44" customHeight="1">
      <c r="A187" s="15" t="inlineStr">
        <is>
          <t>motion_mgn12h_carriage_hole_pitch_across_rail</t>
        </is>
      </c>
      <c r="B187" s="16" t="inlineStr">
        <is>
          <t>20.00</t>
        </is>
      </c>
      <c r="C187" s="17" t="inlineStr">
        <is>
          <t>mm</t>
        </is>
      </c>
      <c r="D187" s="18" t="inlineStr">
        <is>
          <t>MGN12H carriage mounting hole pitch — perpendicular to rail axis.</t>
        </is>
      </c>
      <c r="E187" s="19" t="inlineStr">
        <is>
          <t>20.00 mm</t>
        </is>
      </c>
    </row>
    <row r="188" ht="44" customHeight="1">
      <c r="A188" s="10" t="inlineStr">
        <is>
          <t>motion_mgn9h_carriage_hole_pitch_along_rail</t>
        </is>
      </c>
      <c r="B188" s="11" t="inlineStr">
        <is>
          <t>15.00</t>
        </is>
      </c>
      <c r="C188" s="12" t="inlineStr">
        <is>
          <t>mm</t>
        </is>
      </c>
      <c r="D188" s="13" t="inlineStr">
        <is>
          <t>MGN9H carriage mounting hole pitch along rail.</t>
        </is>
      </c>
      <c r="E188" s="14" t="inlineStr">
        <is>
          <t>15.00 mm</t>
        </is>
      </c>
    </row>
    <row r="189" ht="44" customHeight="1">
      <c r="A189" s="15" t="inlineStr">
        <is>
          <t>motion_mgn9h_carriage_hole_pitch_across_rail</t>
        </is>
      </c>
      <c r="B189" s="16" t="inlineStr">
        <is>
          <t>10.00</t>
        </is>
      </c>
      <c r="C189" s="17" t="inlineStr">
        <is>
          <t>mm</t>
        </is>
      </c>
      <c r="D189" s="18" t="inlineStr">
        <is>
          <t>MGN9H carriage mounting hole pitch across rail.</t>
        </is>
      </c>
      <c r="E189" s="19" t="inlineStr">
        <is>
          <t>10.00 mm</t>
        </is>
      </c>
    </row>
    <row r="190" ht="44" customHeight="1">
      <c r="A190" s="10" t="inlineStr">
        <is>
          <t>motion_gt2_belt_pitch</t>
        </is>
      </c>
      <c r="B190" s="11" t="inlineStr">
        <is>
          <t>2.00</t>
        </is>
      </c>
      <c r="C190" s="12" t="inlineStr">
        <is>
          <t>mm</t>
        </is>
      </c>
      <c r="D190" s="13" t="inlineStr">
        <is>
          <t>GT2 / 3MGT belt tooth pitch. Standard for K3, V-Core, Voron.</t>
        </is>
      </c>
      <c r="E190" s="14" t="inlineStr">
        <is>
          <t>2.00 mm</t>
        </is>
      </c>
    </row>
    <row r="191" ht="44" customHeight="1">
      <c r="A191" s="15" t="inlineStr">
        <is>
          <t>motion_gt2_belt_nominal_width</t>
        </is>
      </c>
      <c r="B191" s="16" t="inlineStr">
        <is>
          <t>6.00</t>
        </is>
      </c>
      <c r="C191" s="17" t="inlineStr">
        <is>
          <t>mm</t>
        </is>
      </c>
      <c r="D191" s="18" t="inlineStr">
        <is>
          <t>GT2 / 3MGT belt nominal width.</t>
        </is>
      </c>
      <c r="E191" s="19" t="inlineStr">
        <is>
          <t>6.00 mm</t>
        </is>
      </c>
    </row>
    <row r="192" ht="44" customHeight="1">
      <c r="A192" s="10" t="inlineStr">
        <is>
          <t>motion_gt2_belt_clamp_slot_extra_width</t>
        </is>
      </c>
      <c r="B192" s="11" t="inlineStr">
        <is>
          <t>0.20</t>
        </is>
      </c>
      <c r="C192" s="12" t="inlineStr">
        <is>
          <t>mm</t>
        </is>
      </c>
      <c r="D192" s="13" t="inlineStr">
        <is>
          <t>Extra width in belt clamp slot for insertion and tensioning clearance.</t>
        </is>
      </c>
      <c r="E192" s="14" t="inlineStr">
        <is>
          <t>0.20 mm</t>
        </is>
      </c>
    </row>
    <row r="193" ht="44" customHeight="1">
      <c r="A193" s="15" t="inlineStr">
        <is>
          <t>motion_gt2_pulley_16t_outer_diameter</t>
        </is>
      </c>
      <c r="B193" s="16" t="inlineStr">
        <is>
          <t>11.00</t>
        </is>
      </c>
      <c r="C193" s="17" t="inlineStr">
        <is>
          <t>mm</t>
        </is>
      </c>
      <c r="D193" s="18" t="inlineStr">
        <is>
          <t>GT2 16-tooth pulley OD (approximate). Verify per brand — varies ±0.3 mm.</t>
        </is>
      </c>
      <c r="E193" s="19" t="inlineStr">
        <is>
          <t>11.00 mm</t>
        </is>
      </c>
    </row>
    <row r="194" ht="44" customHeight="1">
      <c r="A194" s="10" t="inlineStr">
        <is>
          <t>motion_gt2_pulley_20t_outer_diameter</t>
        </is>
      </c>
      <c r="B194" s="11" t="inlineStr">
        <is>
          <t>13.00</t>
        </is>
      </c>
      <c r="C194" s="12" t="inlineStr">
        <is>
          <t>mm</t>
        </is>
      </c>
      <c r="D194" s="13" t="inlineStr">
        <is>
          <t>GT2 20-tooth pulley OD (approximate). Most common idler/drive pulley size.</t>
        </is>
      </c>
      <c r="E194" s="14" t="inlineStr">
        <is>
          <t>13.00 mm</t>
        </is>
      </c>
    </row>
    <row r="195" ht="44" customHeight="1">
      <c r="A195" s="15" t="inlineStr">
        <is>
          <t>motion_gt2_pulley_80t_outer_diameter</t>
        </is>
      </c>
      <c r="B195" s="16" t="inlineStr">
        <is>
          <t>51.00</t>
        </is>
      </c>
      <c r="C195" s="17" t="inlineStr">
        <is>
          <t>mm</t>
        </is>
      </c>
      <c r="D195" s="18" t="inlineStr">
        <is>
          <t>GT2 80-tooth pulley OD. Used in some AWD / geared arrangements.</t>
        </is>
      </c>
      <c r="E195" s="19" t="inlineStr">
        <is>
          <t>51.00 mm</t>
        </is>
      </c>
    </row>
    <row r="196" ht="44" customHeight="1">
      <c r="A196" s="10" t="inlineStr">
        <is>
          <t>motion_gt2_pulley_bore_standard_5mm_shaft</t>
        </is>
      </c>
      <c r="B196" s="11" t="inlineStr">
        <is>
          <t>5.00</t>
        </is>
      </c>
      <c r="C196" s="12" t="inlineStr">
        <is>
          <t>mm</t>
        </is>
      </c>
      <c r="D196" s="13" t="inlineStr">
        <is>
          <t>Standard GT2 pulley shaft bore — 5 mm. Add 0.05 mm clearance for FDM shaft receivers.</t>
        </is>
      </c>
      <c r="E196" s="14" t="inlineStr">
        <is>
          <t>5.00 mm</t>
        </is>
      </c>
    </row>
    <row r="197" ht="44" customHeight="1">
      <c r="A197" s="15" t="inlineStr">
        <is>
          <t>motion_gt2_idler_bearing_od_f695</t>
        </is>
      </c>
      <c r="B197" s="16" t="inlineStr">
        <is>
          <t>13.00</t>
        </is>
      </c>
      <c r="C197" s="17" t="inlineStr">
        <is>
          <t>mm</t>
        </is>
      </c>
      <c r="D197" s="18" t="inlineStr">
        <is>
          <t>F695 flanged bearing OD — standard GT2 idler bearing in Voron/K3/V-Core.</t>
        </is>
      </c>
      <c r="E197" s="19" t="inlineStr">
        <is>
          <t>13.00 mm</t>
        </is>
      </c>
    </row>
    <row r="198" ht="44" customHeight="1">
      <c r="A198" s="10" t="inlineStr">
        <is>
          <t>motion_gt2_idler_bearing_id_f695</t>
        </is>
      </c>
      <c r="B198" s="11" t="inlineStr">
        <is>
          <t>5.00</t>
        </is>
      </c>
      <c r="C198" s="12" t="inlineStr">
        <is>
          <t>mm</t>
        </is>
      </c>
      <c r="D198" s="13" t="inlineStr">
        <is>
          <t>F695 bearing ID — fits M5 shoulder bolt.</t>
        </is>
      </c>
      <c r="E198" s="14" t="inlineStr">
        <is>
          <t>5.00 mm</t>
        </is>
      </c>
    </row>
    <row r="199" ht="44" customHeight="1">
      <c r="A199" s="15" t="inlineStr">
        <is>
          <t>motion_gt2_idler_bearing_width_f695</t>
        </is>
      </c>
      <c r="B199" s="16" t="inlineStr">
        <is>
          <t>4.00</t>
        </is>
      </c>
      <c r="C199" s="17" t="inlineStr">
        <is>
          <t>mm</t>
        </is>
      </c>
      <c r="D199" s="18" t="inlineStr">
        <is>
          <t>F695 bearing width.</t>
        </is>
      </c>
      <c r="E199" s="19" t="inlineStr">
        <is>
          <t>4.00 mm</t>
        </is>
      </c>
    </row>
    <row r="200" ht="44" customHeight="1">
      <c r="A200" s="10" t="inlineStr">
        <is>
          <t>motion_nema17_motor_body_width</t>
        </is>
      </c>
      <c r="B200" s="11" t="inlineStr">
        <is>
          <t>42.30</t>
        </is>
      </c>
      <c r="C200" s="12" t="inlineStr">
        <is>
          <t>mm</t>
        </is>
      </c>
      <c r="D200" s="13" t="inlineStr">
        <is>
          <t>NEMA17 motor body width (square). Standard across all NEMA17 motors.</t>
        </is>
      </c>
      <c r="E200" s="14" t="inlineStr">
        <is>
          <t>42.30 mm</t>
        </is>
      </c>
    </row>
    <row r="201" ht="44" customHeight="1">
      <c r="A201" s="15" t="inlineStr">
        <is>
          <t>motion_nema17_motor_bolt_pattern_center_to_center</t>
        </is>
      </c>
      <c r="B201" s="16" t="inlineStr">
        <is>
          <t>31.00</t>
        </is>
      </c>
      <c r="C201" s="17" t="inlineStr">
        <is>
          <t>mm</t>
        </is>
      </c>
      <c r="D201" s="18" t="inlineStr">
        <is>
          <t>NEMA17 mounting bolt pattern — center to center (square pattern).</t>
        </is>
      </c>
      <c r="E201" s="19" t="inlineStr">
        <is>
          <t>31.00 mm</t>
        </is>
      </c>
    </row>
    <row r="202" ht="44" customHeight="1">
      <c r="A202" s="10" t="inlineStr">
        <is>
          <t>motion_nema17_motor_bolt_size</t>
        </is>
      </c>
      <c r="B202" s="11" t="inlineStr">
        <is>
          <t>3.00</t>
        </is>
      </c>
      <c r="C202" s="12" t="inlineStr">
        <is>
          <t>mm</t>
        </is>
      </c>
      <c r="D202" s="13" t="inlineStr">
        <is>
          <t>NEMA17 mounting bolt — M3. Model clearance holes at hole_geometry_m3_screw_clearance_diameter.</t>
        </is>
      </c>
      <c r="E202" s="14" t="inlineStr">
        <is>
          <t>3.00 mm</t>
        </is>
      </c>
    </row>
    <row r="203" ht="44" customHeight="1">
      <c r="A203" s="15" t="inlineStr">
        <is>
          <t>motion_nema17_motor_shaft_diameter</t>
        </is>
      </c>
      <c r="B203" s="16" t="inlineStr">
        <is>
          <t>5.00</t>
        </is>
      </c>
      <c r="C203" s="17" t="inlineStr">
        <is>
          <t>mm</t>
        </is>
      </c>
      <c r="D203" s="18" t="inlineStr">
        <is>
          <t>NEMA17 output shaft diameter. Standard 5 mm.</t>
        </is>
      </c>
      <c r="E203" s="19" t="inlineStr">
        <is>
          <t>5.00 mm</t>
        </is>
      </c>
    </row>
    <row r="204" ht="44" customHeight="1">
      <c r="A204" s="10" t="inlineStr">
        <is>
          <t>motion_nema17_motor_shaft_flat_depth</t>
        </is>
      </c>
      <c r="B204" s="11" t="inlineStr">
        <is>
          <t>0.50</t>
        </is>
      </c>
      <c r="C204" s="12" t="inlineStr">
        <is>
          <t>mm</t>
        </is>
      </c>
      <c r="D204" s="13" t="inlineStr">
        <is>
          <t>NEMA17 shaft D-flat depth. Used for set screw / grub screw engagement geometry.</t>
        </is>
      </c>
      <c r="E204" s="14" t="inlineStr">
        <is>
          <t>0.50 mm</t>
        </is>
      </c>
    </row>
    <row r="205" ht="44" customHeight="1">
      <c r="A205" s="15" t="inlineStr">
        <is>
          <t>motion_nema17_motor_shaft_length_standard</t>
        </is>
      </c>
      <c r="B205" s="16" t="inlineStr">
        <is>
          <t>20.00</t>
        </is>
      </c>
      <c r="C205" s="17" t="inlineStr">
        <is>
          <t>mm</t>
        </is>
      </c>
      <c r="D205" s="18" t="inlineStr">
        <is>
          <t>NEMA17 standard shaft length — 20 mm. Some variants: 22, 24 mm. Verify your specific motor.</t>
        </is>
      </c>
      <c r="E205" s="19" t="inlineStr">
        <is>
          <t>20.00 mm</t>
        </is>
      </c>
    </row>
    <row r="206" ht="44" customHeight="1">
      <c r="A206" s="10" t="inlineStr">
        <is>
          <t>motion_nema17_motor_face_boss_diameter</t>
        </is>
      </c>
      <c r="B206" s="11" t="inlineStr">
        <is>
          <t>22.00</t>
        </is>
      </c>
      <c r="C206" s="12" t="inlineStr">
        <is>
          <t>mm</t>
        </is>
      </c>
      <c r="D206" s="13" t="inlineStr">
        <is>
          <t>NEMA17 front face centering boss diameter. Used for precision motor registration in mounts.</t>
        </is>
      </c>
      <c r="E206" s="14" t="inlineStr">
        <is>
          <t>22.00 mm</t>
        </is>
      </c>
    </row>
    <row r="207" ht="44" customHeight="1">
      <c r="A207" s="15" t="inlineStr">
        <is>
          <t>motion_nema14_motor_body_width</t>
        </is>
      </c>
      <c r="B207" s="16" t="inlineStr">
        <is>
          <t>35.20</t>
        </is>
      </c>
      <c r="C207" s="17" t="inlineStr">
        <is>
          <t>mm</t>
        </is>
      </c>
      <c r="D207" s="18" t="inlineStr">
        <is>
          <t>NEMA14 motor body width — used in compact extruder motors (Orbiter, Sherpa Mini).</t>
        </is>
      </c>
      <c r="E207" s="19" t="inlineStr">
        <is>
          <t>35.20 mm</t>
        </is>
      </c>
    </row>
    <row r="208" ht="44" customHeight="1">
      <c r="A208" s="10" t="inlineStr">
        <is>
          <t>motion_nema14_motor_bolt_pattern_center_to_center</t>
        </is>
      </c>
      <c r="B208" s="11" t="inlineStr">
        <is>
          <t>26.00</t>
        </is>
      </c>
      <c r="C208" s="12" t="inlineStr">
        <is>
          <t>mm</t>
        </is>
      </c>
      <c r="D208" s="13" t="inlineStr">
        <is>
          <t>NEMA14 mounting bolt pattern C-C.</t>
        </is>
      </c>
      <c r="E208" s="14" t="inlineStr">
        <is>
          <t>26.00 mm</t>
        </is>
      </c>
    </row>
    <row r="209" ht="44" customHeight="1">
      <c r="A209" s="15" t="inlineStr">
        <is>
          <t>motion_nema14_motor_shaft_diameter</t>
        </is>
      </c>
      <c r="B209" s="16" t="inlineStr">
        <is>
          <t>5.00</t>
        </is>
      </c>
      <c r="C209" s="17" t="inlineStr">
        <is>
          <t>mm</t>
        </is>
      </c>
      <c r="D209" s="18" t="inlineStr">
        <is>
          <t>NEMA14 output shaft diameter.</t>
        </is>
      </c>
      <c r="E209" s="19" t="inlineStr">
        <is>
          <t>5.00 mm</t>
        </is>
      </c>
    </row>
    <row r="210" ht="44" customHeight="1">
      <c r="A210" s="10" t="inlineStr">
        <is>
          <t>motion_vslot_2020_extrusion_width</t>
        </is>
      </c>
      <c r="B210" s="11" t="inlineStr">
        <is>
          <t>20.00</t>
        </is>
      </c>
      <c r="C210" s="12" t="inlineStr">
        <is>
          <t>mm</t>
        </is>
      </c>
      <c r="D210" s="13" t="inlineStr">
        <is>
          <t>2020 V-slot extrusion nominal width.</t>
        </is>
      </c>
      <c r="E210" s="14" t="inlineStr">
        <is>
          <t>20.00 mm</t>
        </is>
      </c>
    </row>
    <row r="211" ht="44" customHeight="1">
      <c r="A211" s="15" t="inlineStr">
        <is>
          <t>motion_vslot_2040_extrusion_width</t>
        </is>
      </c>
      <c r="B211" s="16" t="inlineStr">
        <is>
          <t>40.00</t>
        </is>
      </c>
      <c r="C211" s="17" t="inlineStr">
        <is>
          <t>mm</t>
        </is>
      </c>
      <c r="D211" s="18" t="inlineStr">
        <is>
          <t>2040 extrusion nominal width.</t>
        </is>
      </c>
      <c r="E211" s="19" t="inlineStr">
        <is>
          <t>40.00 mm</t>
        </is>
      </c>
    </row>
    <row r="212" ht="44" customHeight="1">
      <c r="A212" s="10" t="inlineStr">
        <is>
          <t>motion_tslot_m3_nut_slot_clearance_width</t>
        </is>
      </c>
      <c r="B212" s="11" t="inlineStr">
        <is>
          <t>5.70</t>
        </is>
      </c>
      <c r="C212" s="12" t="inlineStr">
        <is>
          <t>mm</t>
        </is>
      </c>
      <c r="D212" s="13" t="inlineStr">
        <is>
          <t>M3 T-slot nut / hammerhead sliding width in 2020 extrusion. ISO slot = 5.50 + 0.20 mm clearance.</t>
        </is>
      </c>
      <c r="E212" s="14" t="inlineStr">
        <is>
          <t>5.70 mm</t>
        </is>
      </c>
    </row>
    <row r="213" ht="44" customHeight="1">
      <c r="A213" s="15" t="inlineStr">
        <is>
          <t>motion_beacon_probe_body_outer_diameter</t>
        </is>
      </c>
      <c r="B213" s="16" t="inlineStr">
        <is>
          <t>12.00</t>
        </is>
      </c>
      <c r="C213" s="17" t="inlineStr">
        <is>
          <t>mm</t>
        </is>
      </c>
      <c r="D213" s="18" t="inlineStr">
        <is>
          <t>Beacon eddy-current probe body OD. Used for mount bore and retention clip geometry.</t>
        </is>
      </c>
      <c r="E213" s="19" t="inlineStr">
        <is>
          <t>12.00 mm</t>
        </is>
      </c>
    </row>
    <row r="214" ht="44" customHeight="1">
      <c r="A214" s="5" t="inlineStr">
        <is>
          <t>⚠ motion_beacon_probe_body_total_length</t>
        </is>
      </c>
      <c r="B214" s="6" t="inlineStr">
        <is>
          <t>20.50</t>
        </is>
      </c>
      <c r="C214" s="7" t="inlineStr">
        <is>
          <t>mm</t>
        </is>
      </c>
      <c r="D214" s="8" t="inlineStr">
        <is>
          <t>Beacon probe body total length. Verify against your Beacon revision.</t>
        </is>
      </c>
      <c r="E214" s="9" t="inlineStr">
        <is>
          <t>20.50 mm</t>
        </is>
      </c>
    </row>
    <row r="215" ht="44" customHeight="1">
      <c r="A215" s="15" t="inlineStr">
        <is>
          <t>motion_orbiter_v25_motor_mount_bolt_pattern</t>
        </is>
      </c>
      <c r="B215" s="16" t="inlineStr">
        <is>
          <t>26.00</t>
        </is>
      </c>
      <c r="C215" s="17" t="inlineStr">
        <is>
          <t>mm</t>
        </is>
      </c>
      <c r="D215" s="18" t="inlineStr">
        <is>
          <t>Orbiter v2.5 extruder mounting bolt pattern C-C (NEMA14 pattern).</t>
        </is>
      </c>
      <c r="E215" s="19" t="inlineStr">
        <is>
          <t>26.00 mm</t>
        </is>
      </c>
    </row>
    <row r="216" ht="44" customHeight="1">
      <c r="A216" s="5" t="inlineStr">
        <is>
          <t>⚠ motion_orbiter_v25_filament_path_offset_from_mount</t>
        </is>
      </c>
      <c r="B216" s="6" t="inlineStr">
        <is>
          <t>15.00</t>
        </is>
      </c>
      <c r="C216" s="7" t="inlineStr">
        <is>
          <t>mm</t>
        </is>
      </c>
      <c r="D216" s="8" t="inlineStr">
        <is>
          <t>Orbiter v2.5 filament centerline offset from mount face. Used for toolhead geometry validation.</t>
        </is>
      </c>
      <c r="E216" s="9" t="inlineStr">
        <is>
          <t>15.00 mm</t>
        </is>
      </c>
    </row>
    <row r="217" ht="44" customHeight="1">
      <c r="A217" s="5" t="inlineStr">
        <is>
          <t>⚠ motion_chube_hotend_collet_outer_diameter</t>
        </is>
      </c>
      <c r="B217" s="6" t="inlineStr">
        <is>
          <t>12.00</t>
        </is>
      </c>
      <c r="C217" s="7" t="inlineStr">
        <is>
          <t>mm</t>
        </is>
      </c>
      <c r="D217" s="8" t="inlineStr">
        <is>
          <t>Chube Conduction hotend collet OD. Used for retention clip bore and mount pocket. Verify with your unit.</t>
        </is>
      </c>
      <c r="E217" s="9" t="inlineStr">
        <is>
          <t>12.00 mm</t>
        </is>
      </c>
    </row>
    <row r="218" ht="44" customHeight="1">
      <c r="A218" s="10" t="inlineStr">
        <is>
          <t>motion_can_bus_cable_chain_slot_width</t>
        </is>
      </c>
      <c r="B218" s="11" t="inlineStr">
        <is>
          <t>10.00</t>
        </is>
      </c>
      <c r="C218" s="12" t="inlineStr">
        <is>
          <t>mm</t>
        </is>
      </c>
      <c r="D218" s="13" t="inlineStr">
        <is>
          <t>CAN bus toolhead umbilical cable chain slot minimum width. Accounts for cable bundle + connector bodies.</t>
        </is>
      </c>
      <c r="E218" s="14" t="inlineStr">
        <is>
          <t>10.00 mm</t>
        </is>
      </c>
    </row>
    <row r="219" ht="44" customHeight="1">
      <c r="A219" s="15" t="inlineStr">
        <is>
          <t>motion_toolhead_carriage_plate_thickness_5mm</t>
        </is>
      </c>
      <c r="B219" s="16" t="inlineStr">
        <is>
          <t>5.00</t>
        </is>
      </c>
      <c r="C219" s="17" t="inlineStr">
        <is>
          <t>mm</t>
        </is>
      </c>
      <c r="D219" s="18" t="inlineStr">
        <is>
          <t>V-Core toolhead carriage CNC plate thickness — 5 mm 6061-T6 as used in Wishbone toolhead architecture.</t>
        </is>
      </c>
      <c r="E219" s="19" t="inlineStr">
        <is>
          <t>5.00 mm</t>
        </is>
      </c>
    </row>
    <row r="220" ht="44" customHeight="1">
      <c r="A220" s="10" t="inlineStr">
        <is>
          <t>motion_toolhead_carriage_plate_thickness_4mm</t>
        </is>
      </c>
      <c r="B220" s="11" t="inlineStr">
        <is>
          <t>4.00</t>
        </is>
      </c>
      <c r="C220" s="12" t="inlineStr">
        <is>
          <t>mm</t>
        </is>
      </c>
      <c r="D220" s="13" t="inlineStr">
        <is>
          <t>K3 / secondary toolhead plate thickness — 4 mm 6061-T6.</t>
        </is>
      </c>
      <c r="E220" s="14" t="inlineStr">
        <is>
          <t>4.00 mm</t>
        </is>
      </c>
    </row>
    <row r="221" ht="18" customHeight="1">
      <c r="A221" s="4" t="inlineStr">
        <is>
          <t>🔩  CNC ALUMINUM  —  6061-T6 machining tolerances, tap drills, engagement</t>
        </is>
      </c>
      <c r="B221" s="49" t="n"/>
      <c r="C221" s="49" t="n"/>
      <c r="D221" s="49" t="n"/>
      <c r="E221" s="50" t="n"/>
    </row>
    <row r="222" ht="44" customHeight="1">
      <c r="A222" s="20" t="inlineStr">
        <is>
          <t>cnc_aluminum_6061_stock_plate_thickness_tolerance</t>
        </is>
      </c>
      <c r="B222" s="21" t="inlineStr">
        <is>
          <t>0.10</t>
        </is>
      </c>
      <c r="C222" s="22" t="inlineStr">
        <is>
          <t>mm</t>
        </is>
      </c>
      <c r="D222" s="23" t="inlineStr">
        <is>
          <t>Mill tolerance on 6061-T6 stock plate thickness — typically ±0.05–0.10 mm. Account for this in stack height calculations when combining printed and machined parts.</t>
        </is>
      </c>
      <c r="E222" s="24" t="inlineStr">
        <is>
          <t>0.10 mm</t>
        </is>
      </c>
    </row>
    <row r="223" ht="44" customHeight="1">
      <c r="A223" s="20" t="inlineStr">
        <is>
          <t>cnc_aluminum_drilled_hole_oversize</t>
        </is>
      </c>
      <c r="B223" s="21" t="inlineStr">
        <is>
          <t>0.05</t>
        </is>
      </c>
      <c r="C223" s="22" t="inlineStr">
        <is>
          <t>mm</t>
        </is>
      </c>
      <c r="D223" s="23" t="inlineStr">
        <is>
          <t>Drilled hole tolerance in aluminum — typically +0.05/−0.00 mm. For precision fits, always ream to H7 class after drilling.</t>
        </is>
      </c>
      <c r="E223" s="24" t="inlineStr">
        <is>
          <t>0.05 mm</t>
        </is>
      </c>
    </row>
    <row r="224" ht="44" customHeight="1">
      <c r="A224" s="20" t="inlineStr">
        <is>
          <t>cnc_aluminum_reamed_hole_h7_tolerance_at_5mm</t>
        </is>
      </c>
      <c r="B224" s="21" t="inlineStr">
        <is>
          <t>0.012</t>
        </is>
      </c>
      <c r="C224" s="22" t="inlineStr">
        <is>
          <t>mm</t>
        </is>
      </c>
      <c r="D224" s="23" t="inlineStr">
        <is>
          <t>H7 reamed hole tolerance for a 5 mm hole — ±0.006 mm. Reference for press-fit dowel pins and bearing seats in 6061.</t>
        </is>
      </c>
      <c r="E224" s="24" t="inlineStr">
        <is>
          <t>0.012 mm</t>
        </is>
      </c>
    </row>
    <row r="225" ht="44" customHeight="1">
      <c r="A225" s="20" t="inlineStr">
        <is>
          <t>cnc_aluminum_tap_drill_m2_diameter</t>
        </is>
      </c>
      <c r="B225" s="21" t="inlineStr">
        <is>
          <t>1.60</t>
        </is>
      </c>
      <c r="C225" s="22" t="inlineStr">
        <is>
          <t>mm</t>
        </is>
      </c>
      <c r="D225" s="23" t="inlineStr">
        <is>
          <t>M2×0.4 tap drill diameter in aluminum — ISO standard pre-tap hole for ~75% thread engagement.</t>
        </is>
      </c>
      <c r="E225" s="24" t="inlineStr">
        <is>
          <t>1.60 mm</t>
        </is>
      </c>
    </row>
    <row r="226" ht="44" customHeight="1">
      <c r="A226" s="20" t="inlineStr">
        <is>
          <t>cnc_aluminum_tap_drill_m2p5_diameter</t>
        </is>
      </c>
      <c r="B226" s="21" t="inlineStr">
        <is>
          <t>2.05</t>
        </is>
      </c>
      <c r="C226" s="22" t="inlineStr">
        <is>
          <t>mm</t>
        </is>
      </c>
      <c r="D226" s="23" t="inlineStr">
        <is>
          <t>M2.5×0.45 tap drill diameter in aluminum.</t>
        </is>
      </c>
      <c r="E226" s="24" t="inlineStr">
        <is>
          <t>2.05 mm</t>
        </is>
      </c>
    </row>
    <row r="227" ht="44" customHeight="1">
      <c r="A227" s="20" t="inlineStr">
        <is>
          <t>cnc_aluminum_tap_drill_m3_diameter</t>
        </is>
      </c>
      <c r="B227" s="21" t="inlineStr">
        <is>
          <t>2.50</t>
        </is>
      </c>
      <c r="C227" s="22" t="inlineStr">
        <is>
          <t>mm</t>
        </is>
      </c>
      <c r="D227" s="23" t="inlineStr">
        <is>
          <t>M3×0.5 tap drill diameter in aluminum — standard for all M3 tapped holes in 6061 toolhead plates.</t>
        </is>
      </c>
      <c r="E227" s="24" t="inlineStr">
        <is>
          <t>2.50 mm</t>
        </is>
      </c>
    </row>
    <row r="228" ht="44" customHeight="1">
      <c r="A228" s="20" t="inlineStr">
        <is>
          <t>cnc_aluminum_tap_drill_m4_diameter</t>
        </is>
      </c>
      <c r="B228" s="21" t="inlineStr">
        <is>
          <t>3.30</t>
        </is>
      </c>
      <c r="C228" s="22" t="inlineStr">
        <is>
          <t>mm</t>
        </is>
      </c>
      <c r="D228" s="23" t="inlineStr">
        <is>
          <t>M4×0.7 tap drill diameter in aluminum.</t>
        </is>
      </c>
      <c r="E228" s="24" t="inlineStr">
        <is>
          <t>3.30 mm</t>
        </is>
      </c>
    </row>
    <row r="229" ht="44" customHeight="1">
      <c r="A229" s="20" t="inlineStr">
        <is>
          <t>cnc_aluminum_tap_drill_m5_diameter</t>
        </is>
      </c>
      <c r="B229" s="21" t="inlineStr">
        <is>
          <t>4.20</t>
        </is>
      </c>
      <c r="C229" s="22" t="inlineStr">
        <is>
          <t>mm</t>
        </is>
      </c>
      <c r="D229" s="23" t="inlineStr">
        <is>
          <t>M5×0.8 tap drill diameter in aluminum.</t>
        </is>
      </c>
      <c r="E229" s="24" t="inlineStr">
        <is>
          <t>4.20 mm</t>
        </is>
      </c>
    </row>
    <row r="230" ht="44" customHeight="1">
      <c r="A230" s="20" t="inlineStr">
        <is>
          <t>cnc_aluminum_tap_drill_m6_diameter</t>
        </is>
      </c>
      <c r="B230" s="21" t="inlineStr">
        <is>
          <t>5.00</t>
        </is>
      </c>
      <c r="C230" s="22" t="inlineStr">
        <is>
          <t>mm</t>
        </is>
      </c>
      <c r="D230" s="23" t="inlineStr">
        <is>
          <t>M6×1.0 tap drill diameter in aluminum.</t>
        </is>
      </c>
      <c r="E230" s="24" t="inlineStr">
        <is>
          <t>5.00 mm</t>
        </is>
      </c>
    </row>
    <row r="231" ht="44" customHeight="1">
      <c r="A231" s="20" t="inlineStr">
        <is>
          <t>cnc_aluminum_thread_engagement_minimum_diameter_ratio</t>
        </is>
      </c>
      <c r="B231" s="21" t="inlineStr">
        <is>
          <t>1.50</t>
        </is>
      </c>
      <c r="C231" s="22" t="inlineStr">
        <is>
          <t>x</t>
        </is>
      </c>
      <c r="D231" s="23" t="inlineStr">
        <is>
          <t>Minimum thread engagement length = bolt_diameter × this ratio. M3 in 4 mm plate = 4.0 mm engagement &gt; 1.5× = OK. Below 1× risks strip-out under load.</t>
        </is>
      </c>
      <c r="E231" s="24" t="inlineStr">
        <is>
          <t>1.50</t>
        </is>
      </c>
    </row>
    <row r="232" ht="44" customHeight="1">
      <c r="A232" s="20" t="inlineStr">
        <is>
          <t>cnc_aluminum_thread_engagement_recommended_ratio</t>
        </is>
      </c>
      <c r="B232" s="21" t="inlineStr">
        <is>
          <t>2.00</t>
        </is>
      </c>
      <c r="C232" s="22" t="inlineStr">
        <is>
          <t>x</t>
        </is>
      </c>
      <c r="D232" s="23" t="inlineStr">
        <is>
          <t>Recommended thread engagement for structural joints = 2× bolt diameter. M3 structural: 6 mm minimum engagement.</t>
        </is>
      </c>
      <c r="E232" s="24" t="inlineStr">
        <is>
          <t>2.00</t>
        </is>
      </c>
    </row>
    <row r="233" ht="44" customHeight="1">
      <c r="A233" s="20" t="inlineStr">
        <is>
          <t>cnc_aluminum_minimum_wall_for_tapped_hole</t>
        </is>
      </c>
      <c r="B233" s="21" t="inlineStr">
        <is>
          <t>3.00</t>
        </is>
      </c>
      <c r="C233" s="22" t="inlineStr">
        <is>
          <t>mm</t>
        </is>
      </c>
      <c r="D233" s="23" t="inlineStr">
        <is>
          <t>Minimum material wall thickness surrounding a tapped hole in aluminum. Thinner risks thread pullout and wall blowout.</t>
        </is>
      </c>
      <c r="E233" s="24" t="inlineStr">
        <is>
          <t>3.00 mm</t>
        </is>
      </c>
    </row>
    <row r="234" ht="44" customHeight="1">
      <c r="A234" s="20" t="inlineStr">
        <is>
          <t>cnc_aluminum_countersink_m3_flat_head_4mm_plate</t>
        </is>
      </c>
      <c r="B234" s="21" t="inlineStr">
        <is>
          <t>1.70</t>
        </is>
      </c>
      <c r="C234" s="22" t="inlineStr">
        <is>
          <t>mm</t>
        </is>
      </c>
      <c r="D234" s="23" t="inlineStr">
        <is>
          <t>Countersink depth for a flush M3 flat-head screw in a 4 mm plate. ISO M3 flat head height = 1.70 mm.</t>
        </is>
      </c>
      <c r="E234" s="24" t="inlineStr">
        <is>
          <t>1.70 mm</t>
        </is>
      </c>
    </row>
    <row r="235" ht="44" customHeight="1">
      <c r="A235" s="20" t="inlineStr">
        <is>
          <t>cnc_aluminum_countersink_m3_flat_head_5mm_plate</t>
        </is>
      </c>
      <c r="B235" s="21" t="inlineStr">
        <is>
          <t>1.70</t>
        </is>
      </c>
      <c r="C235" s="22" t="inlineStr">
        <is>
          <t>mm</t>
        </is>
      </c>
      <c r="D235" s="23" t="inlineStr">
        <is>
          <t>Same countersink depth for 5 mm plate — flat head fully recessed with 3.30 mm of uncut material remaining.</t>
        </is>
      </c>
      <c r="E235" s="24" t="inlineStr">
        <is>
          <t>1.70 mm</t>
        </is>
      </c>
    </row>
    <row r="236" ht="44" customHeight="1">
      <c r="A236" s="20" t="inlineStr">
        <is>
          <t>cnc_aluminum_pocket_depth_tolerance_typical_service</t>
        </is>
      </c>
      <c r="B236" s="21" t="inlineStr">
        <is>
          <t>0.05</t>
        </is>
      </c>
      <c r="C236" s="22" t="inlineStr">
        <is>
          <t>mm</t>
        </is>
      </c>
      <c r="D236" s="23" t="inlineStr">
        <is>
          <t>Typical pocket depth tolerance achievable from most CNC services — ±0.05 mm. Tighter than this requires premium machining.</t>
        </is>
      </c>
      <c r="E236" s="24" t="inlineStr">
        <is>
          <t>0.05 mm</t>
        </is>
      </c>
    </row>
    <row r="237" ht="44" customHeight="1">
      <c r="A237" s="20" t="inlineStr">
        <is>
          <t>cnc_aluminum_press_fit_pin_h7_in_6061_5mm</t>
        </is>
      </c>
      <c r="B237" s="21" t="inlineStr">
        <is>
          <t>4.994</t>
        </is>
      </c>
      <c r="C237" s="22" t="inlineStr">
        <is>
          <t>mm</t>
        </is>
      </c>
      <c r="D237" s="23" t="inlineStr">
        <is>
          <t>5 mm H7 press-fit dowel hole in 6061 — nominal 5.000 mm −0.006 mm = 4.994 mm lower bound. Requires reaming.</t>
        </is>
      </c>
      <c r="E237" s="24" t="inlineStr">
        <is>
          <t>4.994 mm</t>
        </is>
      </c>
    </row>
    <row r="238" ht="44" customHeight="1">
      <c r="A238" s="20" t="inlineStr">
        <is>
          <t>cnc_aluminum_6061_thermal_expansion_per_degree_c</t>
        </is>
      </c>
      <c r="B238" s="21" t="inlineStr">
        <is>
          <t>0.080</t>
        </is>
      </c>
      <c r="C238" s="22" t="inlineStr">
        <is>
          <t>µm/mm</t>
        </is>
      </c>
      <c r="D238" s="23" t="inlineStr">
        <is>
          <t>6061-T6 linear thermal expansion coefficient — ~23.6 µm/m/°C ≈ 0.08 µm/mm/°C. Relevant for chamber-heated assemblies where aluminum and plastic expand at different rates.</t>
        </is>
      </c>
      <c r="E238" s="24" t="inlineStr">
        <is>
          <t>0.080</t>
        </is>
      </c>
    </row>
    <row r="239" ht="18" customHeight="1">
      <c r="A239" s="4" t="inlineStr">
        <is>
          <t>🌡️  THERMAL &amp; MATERIAL PROPERTIES</t>
        </is>
      </c>
      <c r="B239" s="49" t="n"/>
      <c r="C239" s="49" t="n"/>
      <c r="D239" s="49" t="n"/>
      <c r="E239" s="50" t="n"/>
    </row>
    <row r="240" ht="44" customHeight="1">
      <c r="A240" s="10" t="inlineStr">
        <is>
          <t>material_pla_print_shrink_percent</t>
        </is>
      </c>
      <c r="B240" s="11" t="inlineStr">
        <is>
          <t>0.30</t>
        </is>
      </c>
      <c r="C240" s="12" t="inlineStr">
        <is>
          <t>%</t>
        </is>
      </c>
      <c r="D240" s="13" t="inlineStr">
        <is>
          <t>PLA linear shrinkage — approximately 0.2–0.4%. Typically accounted for by printer calibration. Reference for large parts.</t>
        </is>
      </c>
      <c r="E240" s="14" t="inlineStr">
        <is>
          <t>0.30</t>
        </is>
      </c>
    </row>
    <row r="241" ht="44" customHeight="1">
      <c r="A241" s="15" t="inlineStr">
        <is>
          <t>material_petg_print_shrink_percent</t>
        </is>
      </c>
      <c r="B241" s="16" t="inlineStr">
        <is>
          <t>0.30</t>
        </is>
      </c>
      <c r="C241" s="17" t="inlineStr">
        <is>
          <t>%</t>
        </is>
      </c>
      <c r="D241" s="18" t="inlineStr">
        <is>
          <t>PETG linear shrinkage — approximately 0.2–0.4%. Very similar to PLA; well-behaved.</t>
        </is>
      </c>
      <c r="E241" s="19" t="inlineStr">
        <is>
          <t>0.30</t>
        </is>
      </c>
    </row>
    <row r="242" ht="44" customHeight="1">
      <c r="A242" s="10" t="inlineStr">
        <is>
          <t>material_abs_print_shrink_percent</t>
        </is>
      </c>
      <c r="B242" s="11" t="inlineStr">
        <is>
          <t>0.60</t>
        </is>
      </c>
      <c r="C242" s="12" t="inlineStr">
        <is>
          <t>%</t>
        </is>
      </c>
      <c r="D242" s="13" t="inlineStr">
        <is>
          <t>ABS linear shrinkage — approximately 0.4–0.8%. Significantly more than PLA/PETG; chamber heating helps consistency.</t>
        </is>
      </c>
      <c r="E242" s="14" t="inlineStr">
        <is>
          <t>0.60</t>
        </is>
      </c>
    </row>
    <row r="243" ht="44" customHeight="1">
      <c r="A243" s="15" t="inlineStr">
        <is>
          <t>material_asa_print_shrink_percent</t>
        </is>
      </c>
      <c r="B243" s="16" t="inlineStr">
        <is>
          <t>0.50</t>
        </is>
      </c>
      <c r="C243" s="17" t="inlineStr">
        <is>
          <t>%</t>
        </is>
      </c>
      <c r="D243" s="18" t="inlineStr">
        <is>
          <t>ASA linear shrinkage — similar to ABS but slightly less. Preferred over ABS for UV resistance in external parts.</t>
        </is>
      </c>
      <c r="E243" s="19" t="inlineStr">
        <is>
          <t>0.50</t>
        </is>
      </c>
    </row>
    <row r="244" ht="44" customHeight="1">
      <c r="A244" s="10" t="inlineStr">
        <is>
          <t>material_abs_minimum_chamber_temp_celsius</t>
        </is>
      </c>
      <c r="B244" s="11" t="inlineStr">
        <is>
          <t>45</t>
        </is>
      </c>
      <c r="C244" s="12" t="inlineStr">
        <is>
          <t>°C</t>
        </is>
      </c>
      <c r="D244" s="13" t="inlineStr">
        <is>
          <t>Minimum chamber temperature for reliable ABS/ASA inter-layer adhesion and warp resistance. 50–60°C is better for functional parts.</t>
        </is>
      </c>
      <c r="E244" s="14" t="inlineStr">
        <is>
          <t>45</t>
        </is>
      </c>
    </row>
    <row r="245" ht="44" customHeight="1">
      <c r="A245" s="15" t="inlineStr">
        <is>
          <t>material_pc_minimum_chamber_temp_celsius</t>
        </is>
      </c>
      <c r="B245" s="16" t="inlineStr">
        <is>
          <t>70</t>
        </is>
      </c>
      <c r="C245" s="17" t="inlineStr">
        <is>
          <t>°C</t>
        </is>
      </c>
      <c r="D245" s="18" t="inlineStr">
        <is>
          <t>Minimum chamber temperature for reliable PC (polycarbonate) layer bonding. PC requires aggressive chamber heating.</t>
        </is>
      </c>
      <c r="E245" s="19" t="inlineStr">
        <is>
          <t>70</t>
        </is>
      </c>
    </row>
    <row r="246" ht="44" customHeight="1">
      <c r="A246" s="10" t="inlineStr">
        <is>
          <t>material_tpu_95a_shore_hardness</t>
        </is>
      </c>
      <c r="B246" s="11" t="inlineStr">
        <is>
          <t>95</t>
        </is>
      </c>
      <c r="C246" s="12" t="inlineStr">
        <is>
          <t>A</t>
        </is>
      </c>
      <c r="D246" s="13" t="inlineStr">
        <is>
          <t>TPU 95A shore hardness — firm but flexible. Good for gaskets, bump stops, and strain reliefs where some flex is needed.</t>
        </is>
      </c>
      <c r="E246" s="14" t="inlineStr">
        <is>
          <t>95</t>
        </is>
      </c>
    </row>
    <row r="247" ht="44" customHeight="1">
      <c r="A247" s="15" t="inlineStr">
        <is>
          <t>material_tpu_85a_shore_hardness</t>
        </is>
      </c>
      <c r="B247" s="16" t="inlineStr">
        <is>
          <t>85</t>
        </is>
      </c>
      <c r="C247" s="17" t="inlineStr">
        <is>
          <t>A</t>
        </is>
      </c>
      <c r="D247" s="18" t="inlineStr">
        <is>
          <t>TPU 85A — softer, more compliant. Useful for cable boots, vibration isolation feet.</t>
        </is>
      </c>
      <c r="E247" s="19" t="inlineStr">
        <is>
          <t>85</t>
        </is>
      </c>
    </row>
    <row r="248" ht="44" customHeight="1">
      <c r="A248" s="10" t="inlineStr">
        <is>
          <t>material_6061_fdm_diff_expansion_per_deg_c</t>
        </is>
      </c>
      <c r="B248" s="11" t="inlineStr">
        <is>
          <t>0.055</t>
        </is>
      </c>
      <c r="C248" s="12" t="inlineStr">
        <is>
          <t>µm/mm</t>
        </is>
      </c>
      <c r="D248" s="13" t="inlineStr">
        <is>
          <t>Differential thermal expansion between 6061-T6 aluminum and ABS/ASA per °C. Aluminum expands ~23.6 µm/m/°C; ABS ~90 µm/m/°C. Relevant for hybrid toolhead assemblies in heated chambers.</t>
        </is>
      </c>
      <c r="E248" s="14" t="inlineStr">
        <is>
          <t>0.055</t>
        </is>
      </c>
    </row>
    <row r="249" ht="18" customHeight="1">
      <c r="A249" s="4" t="inlineStr">
        <is>
          <t>🔌  ELECTRONICS &amp; PCB MOUNTING  —  SBC / MCU / connectors</t>
        </is>
      </c>
      <c r="B249" s="49" t="n"/>
      <c r="C249" s="49" t="n"/>
      <c r="D249" s="49" t="n"/>
      <c r="E249" s="50" t="n"/>
    </row>
    <row r="250" ht="44" customHeight="1">
      <c r="A250" s="25" t="inlineStr">
        <is>
          <t>electronics_m2p5_screw_clearance_hole</t>
        </is>
      </c>
      <c r="B250" s="26" t="inlineStr">
        <is>
          <t>2.90</t>
        </is>
      </c>
      <c r="C250" s="27" t="inlineStr">
        <is>
          <t>mm</t>
        </is>
      </c>
      <c r="D250" s="28" t="inlineStr">
        <is>
          <t>M2.5 bolt clearance through-hole — Raspberry Pi / SBC standard fastener. Model at this diameter.</t>
        </is>
      </c>
      <c r="E250" s="29" t="inlineStr">
        <is>
          <t>2.90 mm</t>
        </is>
      </c>
    </row>
    <row r="251" ht="44" customHeight="1">
      <c r="A251" s="25" t="inlineStr">
        <is>
          <t>electronics_m2p5_hex_standoff_od</t>
        </is>
      </c>
      <c r="B251" s="26" t="inlineStr">
        <is>
          <t>4.50</t>
        </is>
      </c>
      <c r="C251" s="27" t="inlineStr">
        <is>
          <t>mm</t>
        </is>
      </c>
      <c r="D251" s="28" t="inlineStr">
        <is>
          <t>M2.5 hex standoff OD — standard brass spacer for SBC mounting. Used for boss sizing.</t>
        </is>
      </c>
      <c r="E251" s="29" t="inlineStr">
        <is>
          <t>4.50 mm</t>
        </is>
      </c>
    </row>
    <row r="252" ht="44" customHeight="1">
      <c r="A252" s="25" t="inlineStr">
        <is>
          <t>electronics_raspberry_pi_4_5_mount_hole_pitch_x</t>
        </is>
      </c>
      <c r="B252" s="26" t="inlineStr">
        <is>
          <t>58.00</t>
        </is>
      </c>
      <c r="C252" s="27" t="inlineStr">
        <is>
          <t>mm</t>
        </is>
      </c>
      <c r="D252" s="28" t="inlineStr">
        <is>
          <t>Raspberry Pi 4 / Pi 5 mounting hole pitch — X axis (long side).</t>
        </is>
      </c>
      <c r="E252" s="29" t="inlineStr">
        <is>
          <t>58.00 mm</t>
        </is>
      </c>
    </row>
    <row r="253" ht="44" customHeight="1">
      <c r="A253" s="25" t="inlineStr">
        <is>
          <t>electronics_raspberry_pi_4_5_mount_hole_pitch_y</t>
        </is>
      </c>
      <c r="B253" s="26" t="inlineStr">
        <is>
          <t>49.00</t>
        </is>
      </c>
      <c r="C253" s="27" t="inlineStr">
        <is>
          <t>mm</t>
        </is>
      </c>
      <c r="D253" s="28" t="inlineStr">
        <is>
          <t>Raspberry Pi 4 / Pi 5 mounting hole pitch — Y axis.</t>
        </is>
      </c>
      <c r="E253" s="29" t="inlineStr">
        <is>
          <t>49.00 mm</t>
        </is>
      </c>
    </row>
    <row r="254" ht="44" customHeight="1">
      <c r="A254" s="25" t="inlineStr">
        <is>
          <t>electronics_raspberry_pi_board_width</t>
        </is>
      </c>
      <c r="B254" s="26" t="inlineStr">
        <is>
          <t>56.00</t>
        </is>
      </c>
      <c r="C254" s="27" t="inlineStr">
        <is>
          <t>mm</t>
        </is>
      </c>
      <c r="D254" s="28" t="inlineStr">
        <is>
          <t>Raspberry Pi PCB width.</t>
        </is>
      </c>
      <c r="E254" s="29" t="inlineStr">
        <is>
          <t>56.00 mm</t>
        </is>
      </c>
    </row>
    <row r="255" ht="44" customHeight="1">
      <c r="A255" s="25" t="inlineStr">
        <is>
          <t>electronics_raspberry_pi_board_length</t>
        </is>
      </c>
      <c r="B255" s="26" t="inlineStr">
        <is>
          <t>85.00</t>
        </is>
      </c>
      <c r="C255" s="27" t="inlineStr">
        <is>
          <t>mm</t>
        </is>
      </c>
      <c r="D255" s="28" t="inlineStr">
        <is>
          <t>Raspberry Pi PCB length.</t>
        </is>
      </c>
      <c r="E255" s="29" t="inlineStr">
        <is>
          <t>85.00 mm</t>
        </is>
      </c>
    </row>
    <row r="256" ht="44" customHeight="1">
      <c r="A256" s="25" t="inlineStr">
        <is>
          <t>electronics_btt_octopus_mount_hole_pitch_x</t>
        </is>
      </c>
      <c r="B256" s="26" t="inlineStr">
        <is>
          <t>109.00</t>
        </is>
      </c>
      <c r="C256" s="27" t="inlineStr">
        <is>
          <t>mm</t>
        </is>
      </c>
      <c r="D256" s="28" t="inlineStr">
        <is>
          <t>BTT Octopus / Octopus Pro board mounting hole pitch — X.</t>
        </is>
      </c>
      <c r="E256" s="29" t="inlineStr">
        <is>
          <t>109.00 mm</t>
        </is>
      </c>
    </row>
    <row r="257" ht="44" customHeight="1">
      <c r="A257" s="25" t="inlineStr">
        <is>
          <t>electronics_btt_octopus_mount_hole_pitch_y</t>
        </is>
      </c>
      <c r="B257" s="26" t="inlineStr">
        <is>
          <t>81.50</t>
        </is>
      </c>
      <c r="C257" s="27" t="inlineStr">
        <is>
          <t>mm</t>
        </is>
      </c>
      <c r="D257" s="28" t="inlineStr">
        <is>
          <t>BTT Octopus board mounting hole pitch — Y.</t>
        </is>
      </c>
      <c r="E257" s="29" t="inlineStr">
        <is>
          <t>81.50 mm</t>
        </is>
      </c>
    </row>
    <row r="258" ht="44" customHeight="1">
      <c r="A258" s="25" t="inlineStr">
        <is>
          <t>electronics_btt_skr_mini_e3_mount_hole_pitch_x</t>
        </is>
      </c>
      <c r="B258" s="26" t="inlineStr">
        <is>
          <t>85.00</t>
        </is>
      </c>
      <c r="C258" s="27" t="inlineStr">
        <is>
          <t>mm</t>
        </is>
      </c>
      <c r="D258" s="28" t="inlineStr">
        <is>
          <t>BTT SKR Mini E3 V3 mounting hole pitch — X. BabyBelt Pro mainboard.</t>
        </is>
      </c>
      <c r="E258" s="29" t="inlineStr">
        <is>
          <t>85.00 mm</t>
        </is>
      </c>
    </row>
    <row r="259" ht="44" customHeight="1">
      <c r="A259" s="25" t="inlineStr">
        <is>
          <t>electronics_btt_skr_mini_e3_mount_hole_pitch_y</t>
        </is>
      </c>
      <c r="B259" s="26" t="inlineStr">
        <is>
          <t>55.00</t>
        </is>
      </c>
      <c r="C259" s="27" t="inlineStr">
        <is>
          <t>mm</t>
        </is>
      </c>
      <c r="D259" s="28" t="inlineStr">
        <is>
          <t>BTT SKR Mini E3 V3 mounting hole pitch — Y.</t>
        </is>
      </c>
      <c r="E259" s="29" t="inlineStr">
        <is>
          <t>55.00 mm</t>
        </is>
      </c>
    </row>
    <row r="260" ht="44" customHeight="1">
      <c r="A260" s="25" t="inlineStr">
        <is>
          <t>electronics_pcb_edge_clearance_to_wall_minimum</t>
        </is>
      </c>
      <c r="B260" s="26" t="inlineStr">
        <is>
          <t>2.00</t>
        </is>
      </c>
      <c r="C260" s="27" t="inlineStr">
        <is>
          <t>mm</t>
        </is>
      </c>
      <c r="D260" s="28" t="inlineStr">
        <is>
          <t>Minimum clearance from PCB edge to enclosure wall — allows for component overhang and manufacturing tolerance.</t>
        </is>
      </c>
      <c r="E260" s="29" t="inlineStr">
        <is>
          <t>2.00 mm</t>
        </is>
      </c>
    </row>
    <row r="261" ht="44" customHeight="1">
      <c r="A261" s="25" t="inlineStr">
        <is>
          <t>electronics_din_rail_standard_width</t>
        </is>
      </c>
      <c r="B261" s="26" t="inlineStr">
        <is>
          <t>35.00</t>
        </is>
      </c>
      <c r="C261" s="27" t="inlineStr">
        <is>
          <t>mm</t>
        </is>
      </c>
      <c r="D261" s="28" t="inlineStr">
        <is>
          <t>Standard DIN EN 50022 rail width. Used for clip geometry in electrical panel and control box designs.</t>
        </is>
      </c>
      <c r="E261" s="29" t="inlineStr">
        <is>
          <t>35.00 mm</t>
        </is>
      </c>
    </row>
    <row r="262" ht="44" customHeight="1">
      <c r="A262" s="25" t="inlineStr">
        <is>
          <t>electronics_din_rail_clip_engagement_depth</t>
        </is>
      </c>
      <c r="B262" s="26" t="inlineStr">
        <is>
          <t>5.00</t>
        </is>
      </c>
      <c r="C262" s="27" t="inlineStr">
        <is>
          <t>mm</t>
        </is>
      </c>
      <c r="D262" s="28" t="inlineStr">
        <is>
          <t>Typical DIN rail clip engagement depth for reliable snap-on retention.</t>
        </is>
      </c>
      <c r="E262" s="29" t="inlineStr">
        <is>
          <t>5.00 mm</t>
        </is>
      </c>
    </row>
    <row r="263" ht="44" customHeight="1">
      <c r="A263" s="25" t="inlineStr">
        <is>
          <t>electronics_jst_xh_2p54_connector_body_width_2pin</t>
        </is>
      </c>
      <c r="B263" s="26" t="inlineStr">
        <is>
          <t>6.00</t>
        </is>
      </c>
      <c r="C263" s="27" t="inlineStr">
        <is>
          <t>mm</t>
        </is>
      </c>
      <c r="D263" s="28" t="inlineStr">
        <is>
          <t>JST-XH 2-pin connector body width. 2.54 mm pitch. Used for cutout and slot sizing in terminal blocks.</t>
        </is>
      </c>
      <c r="E263" s="29" t="inlineStr">
        <is>
          <t>6.00 mm</t>
        </is>
      </c>
    </row>
    <row r="264" ht="44" customHeight="1">
      <c r="A264" s="25" t="inlineStr">
        <is>
          <t>electronics_jst_xh_2p54_connector_body_height</t>
        </is>
      </c>
      <c r="B264" s="26" t="inlineStr">
        <is>
          <t>7.00</t>
        </is>
      </c>
      <c r="C264" s="27" t="inlineStr">
        <is>
          <t>mm</t>
        </is>
      </c>
      <c r="D264" s="28" t="inlineStr">
        <is>
          <t>JST-XH connector body height.</t>
        </is>
      </c>
      <c r="E264" s="29" t="inlineStr">
        <is>
          <t>7.00 mm</t>
        </is>
      </c>
    </row>
    <row r="265" ht="44" customHeight="1">
      <c r="A265" s="25" t="inlineStr">
        <is>
          <t>electronics_usb_a_panel_cutout_width</t>
        </is>
      </c>
      <c r="B265" s="26" t="inlineStr">
        <is>
          <t>14.00</t>
        </is>
      </c>
      <c r="C265" s="27" t="inlineStr">
        <is>
          <t>mm</t>
        </is>
      </c>
      <c r="D265" s="28" t="inlineStr">
        <is>
          <t>Standard USB-A panel cutout width.</t>
        </is>
      </c>
      <c r="E265" s="29" t="inlineStr">
        <is>
          <t>14.00 mm</t>
        </is>
      </c>
    </row>
    <row r="266" ht="44" customHeight="1">
      <c r="A266" s="25" t="inlineStr">
        <is>
          <t>electronics_usb_a_panel_cutout_height</t>
        </is>
      </c>
      <c r="B266" s="26" t="inlineStr">
        <is>
          <t>7.00</t>
        </is>
      </c>
      <c r="C266" s="27" t="inlineStr">
        <is>
          <t>mm</t>
        </is>
      </c>
      <c r="D266" s="28" t="inlineStr">
        <is>
          <t>Standard USB-A panel cutout height.</t>
        </is>
      </c>
      <c r="E266" s="29" t="inlineStr">
        <is>
          <t>7.00 mm</t>
        </is>
      </c>
    </row>
    <row r="267" ht="44" customHeight="1">
      <c r="A267" s="25" t="inlineStr">
        <is>
          <t>electronics_usb_c_panel_cutout_width</t>
        </is>
      </c>
      <c r="B267" s="26" t="inlineStr">
        <is>
          <t>10.00</t>
        </is>
      </c>
      <c r="C267" s="27" t="inlineStr">
        <is>
          <t>mm</t>
        </is>
      </c>
      <c r="D267" s="28" t="inlineStr">
        <is>
          <t>Standard USB-C panel cutout width.</t>
        </is>
      </c>
      <c r="E267" s="29" t="inlineStr">
        <is>
          <t>10.00 mm</t>
        </is>
      </c>
    </row>
    <row r="268" ht="44" customHeight="1">
      <c r="A268" s="25" t="inlineStr">
        <is>
          <t>electronics_usb_c_panel_cutout_height</t>
        </is>
      </c>
      <c r="B268" s="26" t="inlineStr">
        <is>
          <t>4.50</t>
        </is>
      </c>
      <c r="C268" s="27" t="inlineStr">
        <is>
          <t>mm</t>
        </is>
      </c>
      <c r="D268" s="28" t="inlineStr">
        <is>
          <t>Standard USB-C panel cutout height.</t>
        </is>
      </c>
      <c r="E268" s="29" t="inlineStr">
        <is>
          <t>4.50 mm</t>
        </is>
      </c>
    </row>
    <row r="269" ht="44" customHeight="1">
      <c r="A269" s="25" t="inlineStr">
        <is>
          <t>electronics_xt30_panel_cutout_diameter</t>
        </is>
      </c>
      <c r="B269" s="26" t="inlineStr">
        <is>
          <t>10.50</t>
        </is>
      </c>
      <c r="C269" s="27" t="inlineStr">
        <is>
          <t>mm</t>
        </is>
      </c>
      <c r="D269" s="28" t="inlineStr">
        <is>
          <t>XT30 connector panel cutout hole diameter. Used on 48V toolhead and Doomcube power distribution.</t>
        </is>
      </c>
      <c r="E269" s="29" t="inlineStr">
        <is>
          <t>10.50 mm</t>
        </is>
      </c>
    </row>
    <row r="270" ht="44" customHeight="1">
      <c r="A270" s="25" t="inlineStr">
        <is>
          <t>electronics_xt60_panel_cutout_diameter</t>
        </is>
      </c>
      <c r="B270" s="26" t="inlineStr">
        <is>
          <t>12.00</t>
        </is>
      </c>
      <c r="C270" s="27" t="inlineStr">
        <is>
          <t>mm</t>
        </is>
      </c>
      <c r="D270" s="28" t="inlineStr">
        <is>
          <t>XT60 connector panel cutout hole diameter.</t>
        </is>
      </c>
      <c r="E270" s="29" t="inlineStr">
        <is>
          <t>12.00 mm</t>
        </is>
      </c>
    </row>
    <row r="271" ht="44" customHeight="1">
      <c r="A271" s="25" t="inlineStr">
        <is>
          <t>electronics_wago_221_lever_nut_body_width_2way</t>
        </is>
      </c>
      <c r="B271" s="26" t="inlineStr">
        <is>
          <t>11.00</t>
        </is>
      </c>
      <c r="C271" s="27" t="inlineStr">
        <is>
          <t>mm</t>
        </is>
      </c>
      <c r="D271" s="28" t="inlineStr">
        <is>
          <t>WAGO 221-412 (2-conductor) lever nut body width. For printed mounting clips and wire management blocks.</t>
        </is>
      </c>
      <c r="E271" s="29" t="inlineStr">
        <is>
          <t>11.00 mm</t>
        </is>
      </c>
    </row>
    <row r="272" ht="44" customHeight="1">
      <c r="A272" s="25" t="inlineStr">
        <is>
          <t>electronics_wago_221_lever_nut_body_height</t>
        </is>
      </c>
      <c r="B272" s="26" t="inlineStr">
        <is>
          <t>16.00</t>
        </is>
      </c>
      <c r="C272" s="27" t="inlineStr">
        <is>
          <t>mm</t>
        </is>
      </c>
      <c r="D272" s="28" t="inlineStr">
        <is>
          <t>WAGO 221 lever nut body height.</t>
        </is>
      </c>
      <c r="E272" s="29" t="inlineStr">
        <is>
          <t>16.00 mm</t>
        </is>
      </c>
    </row>
    <row r="273" ht="44" customHeight="1">
      <c r="A273" s="25" t="inlineStr">
        <is>
          <t>electronics_wago_221_lever_nut_body_depth</t>
        </is>
      </c>
      <c r="B273" s="26" t="inlineStr">
        <is>
          <t>14.00</t>
        </is>
      </c>
      <c r="C273" s="27" t="inlineStr">
        <is>
          <t>mm</t>
        </is>
      </c>
      <c r="D273" s="28" t="inlineStr">
        <is>
          <t>WAGO 221 lever nut body depth.</t>
        </is>
      </c>
      <c r="E273" s="29" t="inlineStr">
        <is>
          <t>14.00 mm</t>
        </is>
      </c>
    </row>
    <row r="274" ht="44" customHeight="1">
      <c r="A274" s="25" t="inlineStr">
        <is>
          <t>electronics_esp32_devkit_board_width</t>
        </is>
      </c>
      <c r="B274" s="26" t="inlineStr">
        <is>
          <t>28.00</t>
        </is>
      </c>
      <c r="C274" s="27" t="inlineStr">
        <is>
          <t>mm</t>
        </is>
      </c>
      <c r="D274" s="28" t="inlineStr">
        <is>
          <t>ESP32 DevKit V1 PCB width. Common ESPHome BLE proxy board.</t>
        </is>
      </c>
      <c r="E274" s="29" t="inlineStr">
        <is>
          <t>28.00 mm</t>
        </is>
      </c>
    </row>
    <row r="275" ht="44" customHeight="1">
      <c r="A275" s="25" t="inlineStr">
        <is>
          <t>electronics_esp32_devkit_board_length</t>
        </is>
      </c>
      <c r="B275" s="26" t="inlineStr">
        <is>
          <t>52.00</t>
        </is>
      </c>
      <c r="C275" s="27" t="inlineStr">
        <is>
          <t>mm</t>
        </is>
      </c>
      <c r="D275" s="28" t="inlineStr">
        <is>
          <t>ESP32 DevKit V1 PCB length.</t>
        </is>
      </c>
      <c r="E275" s="29" t="inlineStr">
        <is>
          <t>52.00 mm</t>
        </is>
      </c>
    </row>
    <row r="276" ht="44" customHeight="1">
      <c r="A276" s="25" t="inlineStr">
        <is>
          <t>electronics_d1_mini_esp8266_board_width</t>
        </is>
      </c>
      <c r="B276" s="26" t="inlineStr">
        <is>
          <t>25.60</t>
        </is>
      </c>
      <c r="C276" s="27" t="inlineStr">
        <is>
          <t>mm</t>
        </is>
      </c>
      <c r="D276" s="28" t="inlineStr">
        <is>
          <t>Wemos D1 Mini board width.</t>
        </is>
      </c>
      <c r="E276" s="29" t="inlineStr">
        <is>
          <t>25.60 mm</t>
        </is>
      </c>
    </row>
    <row r="277" ht="44" customHeight="1">
      <c r="A277" s="25" t="inlineStr">
        <is>
          <t>electronics_d1_mini_esp8266_board_length</t>
        </is>
      </c>
      <c r="B277" s="26" t="inlineStr">
        <is>
          <t>34.20</t>
        </is>
      </c>
      <c r="C277" s="27" t="inlineStr">
        <is>
          <t>mm</t>
        </is>
      </c>
      <c r="D277" s="28" t="inlineStr">
        <is>
          <t>Wemos D1 Mini board length.</t>
        </is>
      </c>
      <c r="E277" s="29" t="inlineStr">
        <is>
          <t>34.20 mm</t>
        </is>
      </c>
    </row>
    <row r="278" ht="18" customHeight="1">
      <c r="A278" s="4" t="inlineStr">
        <is>
          <t>🏠  HOME AUTOMATION &amp; ELECTRICAL  —  US boxes, panels, switches</t>
        </is>
      </c>
      <c r="B278" s="49" t="n"/>
      <c r="C278" s="49" t="n"/>
      <c r="D278" s="49" t="n"/>
      <c r="E278" s="50" t="n"/>
    </row>
    <row r="279" ht="44" customHeight="1">
      <c r="A279" s="30" t="inlineStr">
        <is>
          <t>home_auto_us_single_gang_box_internal_width</t>
        </is>
      </c>
      <c r="B279" s="31" t="inlineStr">
        <is>
          <t>33.30</t>
        </is>
      </c>
      <c r="C279" s="32" t="inlineStr">
        <is>
          <t>mm</t>
        </is>
      </c>
      <c r="D279" s="33" t="inlineStr">
        <is>
          <t>Standard US single-gang electrical box internal width. Used for custom insert and bracket designs.</t>
        </is>
      </c>
      <c r="E279" s="34" t="inlineStr">
        <is>
          <t>33.30 mm</t>
        </is>
      </c>
    </row>
    <row r="280" ht="44" customHeight="1">
      <c r="A280" s="30" t="inlineStr">
        <is>
          <t>home_auto_us_single_gang_box_internal_height</t>
        </is>
      </c>
      <c r="B280" s="31" t="inlineStr">
        <is>
          <t>44.45</t>
        </is>
      </c>
      <c r="C280" s="32" t="inlineStr">
        <is>
          <t>mm</t>
        </is>
      </c>
      <c r="D280" s="33" t="inlineStr">
        <is>
          <t>Standard US single-gang electrical box internal height.</t>
        </is>
      </c>
      <c r="E280" s="34" t="inlineStr">
        <is>
          <t>44.45 mm</t>
        </is>
      </c>
    </row>
    <row r="281" ht="44" customHeight="1">
      <c r="A281" s="30" t="inlineStr">
        <is>
          <t>home_auto_us_decora_faceplate_cutout_width</t>
        </is>
      </c>
      <c r="B281" s="31" t="inlineStr">
        <is>
          <t>44.50</t>
        </is>
      </c>
      <c r="C281" s="32" t="inlineStr">
        <is>
          <t>mm</t>
        </is>
      </c>
      <c r="D281" s="33" t="inlineStr">
        <is>
          <t>Decora / paddle-style faceplate cutout width. For custom switch plates and smart home inserts.</t>
        </is>
      </c>
      <c r="E281" s="34" t="inlineStr">
        <is>
          <t>44.50 mm</t>
        </is>
      </c>
    </row>
    <row r="282" ht="44" customHeight="1">
      <c r="A282" s="30" t="inlineStr">
        <is>
          <t>home_auto_us_decora_faceplate_cutout_height</t>
        </is>
      </c>
      <c r="B282" s="31" t="inlineStr">
        <is>
          <t>69.85</t>
        </is>
      </c>
      <c r="C282" s="32" t="inlineStr">
        <is>
          <t>mm</t>
        </is>
      </c>
      <c r="D282" s="33" t="inlineStr">
        <is>
          <t>Decora faceplate cutout height.</t>
        </is>
      </c>
      <c r="E282" s="34" t="inlineStr">
        <is>
          <t>69.85 mm</t>
        </is>
      </c>
    </row>
    <row r="283" ht="44" customHeight="1">
      <c r="A283" s="30" t="inlineStr">
        <is>
          <t>home_auto_conduit_half_inch_knockout_diameter</t>
        </is>
      </c>
      <c r="B283" s="31" t="inlineStr">
        <is>
          <t>22.20</t>
        </is>
      </c>
      <c r="C283" s="32" t="inlineStr">
        <is>
          <t>mm</t>
        </is>
      </c>
      <c r="D283" s="33" t="inlineStr">
        <is>
          <t>½ inch conduit knockout diameter in standard US electrical boxes.</t>
        </is>
      </c>
      <c r="E283" s="34" t="inlineStr">
        <is>
          <t>22.20 mm</t>
        </is>
      </c>
    </row>
    <row r="284" ht="44" customHeight="1">
      <c r="A284" s="30" t="inlineStr">
        <is>
          <t>home_auto_conduit_three_quarter_inch_knockout_dia</t>
        </is>
      </c>
      <c r="B284" s="31" t="inlineStr">
        <is>
          <t>27.80</t>
        </is>
      </c>
      <c r="C284" s="32" t="inlineStr">
        <is>
          <t>mm</t>
        </is>
      </c>
      <c r="D284" s="33" t="inlineStr">
        <is>
          <t>¾ inch conduit knockout diameter.</t>
        </is>
      </c>
      <c r="E284" s="34" t="inlineStr">
        <is>
          <t>27.80 mm</t>
        </is>
      </c>
    </row>
    <row r="285" ht="44" customHeight="1">
      <c r="A285" s="30" t="inlineStr">
        <is>
          <t>⚠ home_auto_sonoff_zbdongle_p_body_width</t>
        </is>
      </c>
      <c r="B285" s="31" t="inlineStr">
        <is>
          <t>20.00</t>
        </is>
      </c>
      <c r="C285" s="32" t="inlineStr">
        <is>
          <t>mm</t>
        </is>
      </c>
      <c r="D285" s="33" t="inlineStr">
        <is>
          <t>Sonoff Zigbee Dongle Plus body width — for printed mount and bracket design.</t>
        </is>
      </c>
      <c r="E285" s="34" t="inlineStr">
        <is>
          <t>20.00 mm</t>
        </is>
      </c>
    </row>
    <row r="286" ht="44" customHeight="1">
      <c r="A286" s="30" t="inlineStr">
        <is>
          <t>⚠ home_auto_sonoff_zbdongle_p_body_length</t>
        </is>
      </c>
      <c r="B286" s="31" t="inlineStr">
        <is>
          <t>75.00</t>
        </is>
      </c>
      <c r="C286" s="32" t="inlineStr">
        <is>
          <t>mm</t>
        </is>
      </c>
      <c r="D286" s="33" t="inlineStr">
        <is>
          <t>Sonoff Zigbee Dongle Plus body length.</t>
        </is>
      </c>
      <c r="E286" s="34" t="inlineStr">
        <is>
          <t>75.00 mm</t>
        </is>
      </c>
    </row>
    <row r="287" ht="18" customHeight="1">
      <c r="A287" s="4" t="inlineStr">
        <is>
          <t>🎯  FOAM DART / BLASTER HARDWARE  —  half-dart and full-dart standard dims</t>
        </is>
      </c>
      <c r="B287" s="49" t="n"/>
      <c r="C287" s="49" t="n"/>
      <c r="D287" s="49" t="n"/>
      <c r="E287" s="50" t="n"/>
    </row>
    <row r="288" ht="44" customHeight="1">
      <c r="A288" s="35" t="inlineStr">
        <is>
          <t>foam_dart_half_dart_body_outer_diameter</t>
        </is>
      </c>
      <c r="B288" s="36" t="inlineStr">
        <is>
          <t>13.00</t>
        </is>
      </c>
      <c r="C288" s="37" t="inlineStr">
        <is>
          <t>mm</t>
        </is>
      </c>
      <c r="D288" s="38" t="inlineStr">
        <is>
          <t>Half-dart body outer diameter standard. Base reference for barrel and breech clearances.</t>
        </is>
      </c>
      <c r="E288" s="39" t="inlineStr">
        <is>
          <t>13.00 mm</t>
        </is>
      </c>
    </row>
    <row r="289" ht="44" customHeight="1">
      <c r="A289" s="35" t="inlineStr">
        <is>
          <t>foam_dart_half_dart_tip_outer_diameter</t>
        </is>
      </c>
      <c r="B289" s="36" t="inlineStr">
        <is>
          <t>13.00</t>
        </is>
      </c>
      <c r="C289" s="37" t="inlineStr">
        <is>
          <t>mm</t>
        </is>
      </c>
      <c r="D289" s="38" t="inlineStr">
        <is>
          <t>Half-dart foam tip OD — approximately same as body for most half-dart designs.</t>
        </is>
      </c>
      <c r="E289" s="39" t="inlineStr">
        <is>
          <t>13.00 mm</t>
        </is>
      </c>
    </row>
    <row r="290" ht="44" customHeight="1">
      <c r="A290" s="35" t="inlineStr">
        <is>
          <t>foam_dart_half_dart_body_length</t>
        </is>
      </c>
      <c r="B290" s="36" t="inlineStr">
        <is>
          <t>36.00</t>
        </is>
      </c>
      <c r="C290" s="37" t="inlineStr">
        <is>
          <t>mm</t>
        </is>
      </c>
      <c r="D290" s="38" t="inlineStr">
        <is>
          <t>Standard half-dart overall length.</t>
        </is>
      </c>
      <c r="E290" s="39" t="inlineStr">
        <is>
          <t>36.00 mm</t>
        </is>
      </c>
    </row>
    <row r="291" ht="44" customHeight="1">
      <c r="A291" s="35" t="inlineStr">
        <is>
          <t>foam_dart_full_dart_body_outer_diameter</t>
        </is>
      </c>
      <c r="B291" s="36" t="inlineStr">
        <is>
          <t>11.50</t>
        </is>
      </c>
      <c r="C291" s="37" t="inlineStr">
        <is>
          <t>mm</t>
        </is>
      </c>
      <c r="D291" s="38" t="inlineStr">
        <is>
          <t>Full-dart foam body OD — narrower than tip.</t>
        </is>
      </c>
      <c r="E291" s="39" t="inlineStr">
        <is>
          <t>11.50 mm</t>
        </is>
      </c>
    </row>
    <row r="292" ht="44" customHeight="1">
      <c r="A292" s="35" t="inlineStr">
        <is>
          <t>foam_dart_full_dart_tip_outer_diameter</t>
        </is>
      </c>
      <c r="B292" s="36" t="inlineStr">
        <is>
          <t>13.00</t>
        </is>
      </c>
      <c r="C292" s="37" t="inlineStr">
        <is>
          <t>mm</t>
        </is>
      </c>
      <c r="D292" s="38" t="inlineStr">
        <is>
          <t>Full-dart foam tip OD.</t>
        </is>
      </c>
      <c r="E292" s="39" t="inlineStr">
        <is>
          <t>13.00 mm</t>
        </is>
      </c>
    </row>
    <row r="293" ht="44" customHeight="1">
      <c r="A293" s="35" t="inlineStr">
        <is>
          <t>foam_dart_full_dart_overall_length</t>
        </is>
      </c>
      <c r="B293" s="36" t="inlineStr">
        <is>
          <t>72.00</t>
        </is>
      </c>
      <c r="C293" s="37" t="inlineStr">
        <is>
          <t>mm</t>
        </is>
      </c>
      <c r="D293" s="38" t="inlineStr">
        <is>
          <t>Standard full-dart overall length.</t>
        </is>
      </c>
      <c r="E293" s="39" t="inlineStr">
        <is>
          <t>72.00 mm</t>
        </is>
      </c>
    </row>
    <row r="294" ht="44" customHeight="1">
      <c r="A294" s="35" t="inlineStr">
        <is>
          <t>foam_dart_barrel_bore_half_dart_performance</t>
        </is>
      </c>
      <c r="B294" s="36" t="inlineStr">
        <is>
          <t>13.20</t>
        </is>
      </c>
      <c r="C294" s="37" t="inlineStr">
        <is>
          <t>mm</t>
        </is>
      </c>
      <c r="D294" s="38" t="inlineStr">
        <is>
          <t>Half-dart barrel bore for performance — tight for good seal and range. +0.20 mm over dart OD.</t>
        </is>
      </c>
      <c r="E294" s="39" t="inlineStr">
        <is>
          <t>13.20 mm</t>
        </is>
      </c>
    </row>
    <row r="295" ht="44" customHeight="1">
      <c r="A295" s="35" t="inlineStr">
        <is>
          <t>foam_dart_barrel_bore_half_dart_slam_fire</t>
        </is>
      </c>
      <c r="B295" s="36" t="inlineStr">
        <is>
          <t>13.70</t>
        </is>
      </c>
      <c r="C295" s="37" t="inlineStr">
        <is>
          <t>mm</t>
        </is>
      </c>
      <c r="D295" s="38" t="inlineStr">
        <is>
          <t>Half-dart barrel bore for slam-fire / rapid cycling — loose enough for reliable feeding under fast operation.</t>
        </is>
      </c>
      <c r="E295" s="39" t="inlineStr">
        <is>
          <t>13.70 mm</t>
        </is>
      </c>
    </row>
    <row r="296" ht="44" customHeight="1">
      <c r="A296" s="35" t="inlineStr">
        <is>
          <t>⚠ foam_dart_flywheel_gap_half_dart_standard</t>
        </is>
      </c>
      <c r="B296" s="36" t="inlineStr">
        <is>
          <t>9.00</t>
        </is>
      </c>
      <c r="C296" s="37" t="inlineStr">
        <is>
          <t>mm</t>
        </is>
      </c>
      <c r="D296" s="38" t="inlineStr">
        <is>
          <t>Flywheel gap for half-dart at standard wheel OD. Tune 8.5–9.5 mm depending on wheel OD and dart compression preference.</t>
        </is>
      </c>
      <c r="E296" s="39" t="inlineStr">
        <is>
          <t>9.00 mm</t>
        </is>
      </c>
    </row>
    <row r="297" ht="44" customHeight="1">
      <c r="A297" s="35" t="inlineStr">
        <is>
          <t>⚠ foam_dart_flywheel_motor_can_worker_artifact_od</t>
        </is>
      </c>
      <c r="B297" s="36" t="inlineStr">
        <is>
          <t>22.10</t>
        </is>
      </c>
      <c r="C297" s="37" t="inlineStr">
        <is>
          <t>mm</t>
        </is>
      </c>
      <c r="D297" s="38" t="inlineStr">
        <is>
          <t>Worker / Artifact 130/180-size flywheel motor can OD — for motor cage bore sizing. Verify per motor brand.</t>
        </is>
      </c>
      <c r="E297" s="39" t="inlineStr">
        <is>
          <t>22.10 mm</t>
        </is>
      </c>
    </row>
    <row r="298" ht="44" customHeight="1">
      <c r="A298" s="35" t="inlineStr">
        <is>
          <t>foam_dart_spring_guide_rod_diameter_standard</t>
        </is>
      </c>
      <c r="B298" s="36" t="inlineStr">
        <is>
          <t>4.00</t>
        </is>
      </c>
      <c r="C298" s="37" t="inlineStr">
        <is>
          <t>mm</t>
        </is>
      </c>
      <c r="D298" s="38" t="inlineStr">
        <is>
          <t>Standard spring guide rod diameter — 4 mm for most semi-auto plunger designs. 5 mm for high-draw builds.</t>
        </is>
      </c>
      <c r="E298" s="39" t="inlineStr">
        <is>
          <t>4.00 mm</t>
        </is>
      </c>
    </row>
    <row r="299" ht="44" customHeight="1">
      <c r="A299" s="35" t="inlineStr">
        <is>
          <t>foam_dart_plunger_tube_id_19mm</t>
        </is>
      </c>
      <c r="B299" s="36" t="inlineStr">
        <is>
          <t>19.00</t>
        </is>
      </c>
      <c r="C299" s="37" t="inlineStr">
        <is>
          <t>mm</t>
        </is>
      </c>
      <c r="D299" s="38" t="inlineStr">
        <is>
          <t>Small plunger tube ID — 19 mm PVC / CPVC. Common in compact semi-auto designs.</t>
        </is>
      </c>
      <c r="E299" s="39" t="inlineStr">
        <is>
          <t>19.00 mm</t>
        </is>
      </c>
    </row>
    <row r="300" ht="44" customHeight="1">
      <c r="A300" s="35" t="inlineStr">
        <is>
          <t>foam_dart_plunger_tube_id_25mm</t>
        </is>
      </c>
      <c r="B300" s="36" t="inlineStr">
        <is>
          <t>25.00</t>
        </is>
      </c>
      <c r="C300" s="37" t="inlineStr">
        <is>
          <t>mm</t>
        </is>
      </c>
      <c r="D300" s="38" t="inlineStr">
        <is>
          <t>Large plunger tube ID — 25 mm PVC. Common in high-volume springers.</t>
        </is>
      </c>
      <c r="E300" s="39" t="inlineStr">
        <is>
          <t>25.00 mm</t>
        </is>
      </c>
    </row>
    <row r="301" ht="44" customHeight="1">
      <c r="A301" s="35" t="inlineStr">
        <is>
          <t>foam_dart_plunger_tube_wall_thickness</t>
        </is>
      </c>
      <c r="B301" s="36" t="inlineStr">
        <is>
          <t>2.00</t>
        </is>
      </c>
      <c r="C301" s="37" t="inlineStr">
        <is>
          <t>mm</t>
        </is>
      </c>
      <c r="D301" s="38" t="inlineStr">
        <is>
          <t>Standard PVC plunger tube wall thickness. Used for outer diameter calc: OD = ID + 2× wall.</t>
        </is>
      </c>
      <c r="E301" s="39" t="inlineStr">
        <is>
          <t>2.00 mm</t>
        </is>
      </c>
    </row>
    <row r="302" ht="18" customHeight="1">
      <c r="A302" s="4" t="inlineStr">
        <is>
          <t>⚔️  WARHAMMER 40K / MINIATURE TERRAIN  —  base and terrain standards</t>
        </is>
      </c>
      <c r="B302" s="49" t="n"/>
      <c r="C302" s="49" t="n"/>
      <c r="D302" s="49" t="n"/>
      <c r="E302" s="50" t="n"/>
    </row>
    <row r="303" ht="44" customHeight="1">
      <c r="A303" s="40" t="inlineStr">
        <is>
          <t>warhammer_base_25mm_outer_diameter</t>
        </is>
      </c>
      <c r="B303" s="41" t="inlineStr">
        <is>
          <t>25.00</t>
        </is>
      </c>
      <c r="C303" s="42" t="inlineStr">
        <is>
          <t>mm</t>
        </is>
      </c>
      <c r="D303" s="43" t="inlineStr">
        <is>
          <t>25 mm round base OD — legacy infantry standard. Tight clearance slot: 25.30 mm.</t>
        </is>
      </c>
      <c r="E303" s="44" t="inlineStr">
        <is>
          <t>25.00 mm</t>
        </is>
      </c>
    </row>
    <row r="304" ht="44" customHeight="1">
      <c r="A304" s="40" t="inlineStr">
        <is>
          <t>warhammer_base_32mm_outer_diameter</t>
        </is>
      </c>
      <c r="B304" s="41" t="inlineStr">
        <is>
          <t>32.00</t>
        </is>
      </c>
      <c r="C304" s="42" t="inlineStr">
        <is>
          <t>mm</t>
        </is>
      </c>
      <c r="D304" s="43" t="inlineStr">
        <is>
          <t>32 mm round base OD — current infantry standard. Tight clearance slot: 32.30 mm.</t>
        </is>
      </c>
      <c r="E304" s="44" t="inlineStr">
        <is>
          <t>32.00 mm</t>
        </is>
      </c>
    </row>
    <row r="305" ht="44" customHeight="1">
      <c r="A305" s="40" t="inlineStr">
        <is>
          <t>warhammer_base_40mm_outer_diameter</t>
        </is>
      </c>
      <c r="B305" s="41" t="inlineStr">
        <is>
          <t>40.00</t>
        </is>
      </c>
      <c r="C305" s="42" t="inlineStr">
        <is>
          <t>mm</t>
        </is>
      </c>
      <c r="D305" s="43" t="inlineStr">
        <is>
          <t>40 mm round base OD — heavy infantry, small cavalry, some vehicles.</t>
        </is>
      </c>
      <c r="E305" s="44" t="inlineStr">
        <is>
          <t>40.00 mm</t>
        </is>
      </c>
    </row>
    <row r="306" ht="44" customHeight="1">
      <c r="A306" s="40" t="inlineStr">
        <is>
          <t>warhammer_base_50mm_outer_diameter</t>
        </is>
      </c>
      <c r="B306" s="41" t="inlineStr">
        <is>
          <t>50.00</t>
        </is>
      </c>
      <c r="C306" s="42" t="inlineStr">
        <is>
          <t>mm</t>
        </is>
      </c>
      <c r="D306" s="43" t="inlineStr">
        <is>
          <t>50 mm round base OD — large infantry, medium cavalry.</t>
        </is>
      </c>
      <c r="E306" s="44" t="inlineStr">
        <is>
          <t>50.00 mm</t>
        </is>
      </c>
    </row>
    <row r="307" ht="44" customHeight="1">
      <c r="A307" s="40" t="inlineStr">
        <is>
          <t>warhammer_base_60mm_outer_diameter</t>
        </is>
      </c>
      <c r="B307" s="41" t="inlineStr">
        <is>
          <t>60.00</t>
        </is>
      </c>
      <c r="C307" s="42" t="inlineStr">
        <is>
          <t>mm</t>
        </is>
      </c>
      <c r="D307" s="43" t="inlineStr">
        <is>
          <t>60 mm round base OD — large monsters, heavy cavalry.</t>
        </is>
      </c>
      <c r="E307" s="44" t="inlineStr">
        <is>
          <t>60.00 mm</t>
        </is>
      </c>
    </row>
    <row r="308" ht="44" customHeight="1">
      <c r="A308" s="40" t="inlineStr">
        <is>
          <t>warhammer_base_slot_clearance_fdm</t>
        </is>
      </c>
      <c r="B308" s="41" t="inlineStr">
        <is>
          <t>0.30</t>
        </is>
      </c>
      <c r="C308" s="42" t="inlineStr">
        <is>
          <t>mm</t>
        </is>
      </c>
      <c r="D308" s="43" t="inlineStr">
        <is>
          <t>FDM clearance to add to base OD for tray / rack slot — base drops in freely without binding.</t>
        </is>
      </c>
      <c r="E308" s="44" t="inlineStr">
        <is>
          <t>0.30 mm</t>
        </is>
      </c>
    </row>
    <row r="309" ht="44" customHeight="1">
      <c r="A309" s="40" t="inlineStr">
        <is>
          <t>warhammer_base_height_standard</t>
        </is>
      </c>
      <c r="B309" s="41" t="inlineStr">
        <is>
          <t>3.00</t>
        </is>
      </c>
      <c r="C309" s="42" t="inlineStr">
        <is>
          <t>mm</t>
        </is>
      </c>
      <c r="D309" s="43" t="inlineStr">
        <is>
          <t>Standard Citadel round base height — approximately 3 mm. Verify with your base batch.</t>
        </is>
      </c>
      <c r="E309" s="44" t="inlineStr">
        <is>
          <t>3.00 mm</t>
        </is>
      </c>
    </row>
    <row r="310" ht="44" customHeight="1">
      <c r="A310" s="40" t="inlineStr">
        <is>
          <t>warhammer_flying_stand_post_diameter</t>
        </is>
      </c>
      <c r="B310" s="41" t="inlineStr">
        <is>
          <t>3.00</t>
        </is>
      </c>
      <c r="C310" s="42" t="inlineStr">
        <is>
          <t>mm</t>
        </is>
      </c>
      <c r="D310" s="43" t="inlineStr">
        <is>
          <t>Standard GW flying base post rod diameter — 3 mm. Clearance hole in model: 3.20 mm.</t>
        </is>
      </c>
      <c r="E310" s="44" t="inlineStr">
        <is>
          <t>3.00 mm</t>
        </is>
      </c>
    </row>
    <row r="311" ht="44" customHeight="1">
      <c r="A311" s="40" t="inlineStr">
        <is>
          <t>warhammer_flying_stand_post_clearance_hole</t>
        </is>
      </c>
      <c r="B311" s="41" t="inlineStr">
        <is>
          <t>3.20</t>
        </is>
      </c>
      <c r="C311" s="42" t="inlineStr">
        <is>
          <t>mm</t>
        </is>
      </c>
      <c r="D311" s="43" t="inlineStr">
        <is>
          <t>Flying base post clearance hole — 3 mm post + 0.20 mm FDM.</t>
        </is>
      </c>
      <c r="E311" s="44" t="inlineStr">
        <is>
          <t>3.20 mm</t>
        </is>
      </c>
    </row>
    <row r="312" ht="44" customHeight="1">
      <c r="A312" s="40" t="inlineStr">
        <is>
          <t>warhammer_magnetization_base_6x2mm_pocket_id</t>
        </is>
      </c>
      <c r="B312" s="41" t="inlineStr">
        <is>
          <t>6.10</t>
        </is>
      </c>
      <c r="C312" s="42" t="inlineStr">
        <is>
          <t>mm</t>
        </is>
      </c>
      <c r="D312" s="43" t="inlineStr">
        <is>
          <t>6×2 mm magnet pocket ID for base magnetization (transport tray use). Slight clearance for glue-in.</t>
        </is>
      </c>
      <c r="E312" s="44" t="inlineStr">
        <is>
          <t>6.10 mm</t>
        </is>
      </c>
    </row>
    <row r="313" ht="44" customHeight="1">
      <c r="A313" s="40" t="inlineStr">
        <is>
          <t>warhammer_magnetization_base_6x2mm_pocket_depth</t>
        </is>
      </c>
      <c r="B313" s="41" t="inlineStr">
        <is>
          <t>2.10</t>
        </is>
      </c>
      <c r="C313" s="42" t="inlineStr">
        <is>
          <t>mm</t>
        </is>
      </c>
      <c r="D313" s="43" t="inlineStr">
        <is>
          <t>6×2 mm magnet pocket depth — 2.0 mm magnet + 0.10 mm for glue / flush margin.</t>
        </is>
      </c>
      <c r="E313" s="44" t="inlineStr">
        <is>
          <t>2.10 mm</t>
        </is>
      </c>
    </row>
    <row r="314" ht="44" customHeight="1">
      <c r="A314" s="40" t="inlineStr">
        <is>
          <t>warhammer_terrain_wall_thickness_minimum_rigid</t>
        </is>
      </c>
      <c r="B314" s="41" t="inlineStr">
        <is>
          <t>3.00</t>
        </is>
      </c>
      <c r="C314" s="42" t="inlineStr">
        <is>
          <t>mm</t>
        </is>
      </c>
      <c r="D314" s="43" t="inlineStr">
        <is>
          <t>Minimum FDM terrain wall thickness for rigid scatter terrain — thin terrain flexes and delaminates under play.</t>
        </is>
      </c>
      <c r="E314" s="44" t="inlineStr">
        <is>
          <t>3.00 mm</t>
        </is>
      </c>
    </row>
    <row r="315" ht="44" customHeight="1">
      <c r="A315" s="40" t="inlineStr">
        <is>
          <t>warhammer_terrain_wall_thickness_structural_building</t>
        </is>
      </c>
      <c r="B315" s="41" t="inlineStr">
        <is>
          <t>4.00</t>
        </is>
      </c>
      <c r="C315" s="42" t="inlineStr">
        <is>
          <t>mm</t>
        </is>
      </c>
      <c r="D315" s="43" t="inlineStr">
        <is>
          <t>Recommended wall thickness for structural terrain buildings — 4 mm provides good rigidity at tabletop scale.</t>
        </is>
      </c>
      <c r="E315" s="44" t="inlineStr">
        <is>
          <t>4.00 mm</t>
        </is>
      </c>
    </row>
    <row r="316" ht="44" customHeight="1">
      <c r="A316" s="40" t="inlineStr">
        <is>
          <t>warhammer_kill_team_tile_standard_size</t>
        </is>
      </c>
      <c r="B316" s="41" t="inlineStr">
        <is>
          <t>200.00</t>
        </is>
      </c>
      <c r="C316" s="42" t="inlineStr">
        <is>
          <t>mm</t>
        </is>
      </c>
      <c r="D316" s="43" t="inlineStr">
        <is>
          <t>Kill Team game board tile standard size — 200 × 200 mm. Used for modular terrain planning.</t>
        </is>
      </c>
      <c r="E316" s="44" t="inlineStr">
        <is>
          <t>200.00 mm</t>
        </is>
      </c>
    </row>
    <row r="317" ht="18" customHeight="1">
      <c r="A317" s="4" t="inlineStr">
        <is>
          <t>🔨  IMPERIAL DRILL BITS  —  fractional inch series (1/64" to 1") converted to mm</t>
        </is>
      </c>
    </row>
    <row r="318" ht="36" customHeight="1">
      <c r="A318" s="51" t="inlineStr">
        <is>
          <t>drill_imperial_fractional_1_64_inch_diameter_mm</t>
        </is>
      </c>
      <c r="B318" s="52" t="inlineStr">
        <is>
          <t>0.397</t>
        </is>
      </c>
      <c r="C318" s="53" t="inlineStr">
        <is>
          <t>mm</t>
        </is>
      </c>
      <c r="D318" s="54" t="inlineStr">
        <is>
          <t>1/64" drill bit = 0.397 mm exactly. Nearest stocked metric: 0.4 mm. Smallest common fractional bit. Pilot for #0-#1 screws, fine detail work.</t>
        </is>
      </c>
      <c r="E318" s="55" t="inlineStr">
        <is>
          <t>0.397 mm</t>
        </is>
      </c>
    </row>
    <row r="319" ht="36" customHeight="1">
      <c r="A319" s="51" t="inlineStr">
        <is>
          <t>drill_imperial_fractional_1_32_inch_diameter_mm</t>
        </is>
      </c>
      <c r="B319" s="52" t="inlineStr">
        <is>
          <t>0.794</t>
        </is>
      </c>
      <c r="C319" s="53" t="inlineStr">
        <is>
          <t>mm</t>
        </is>
      </c>
      <c r="D319" s="54" t="inlineStr">
        <is>
          <t>1/32" drill bit = 0.794 mm exactly. Nearest stocked metric: 0.8 mm. Pilot for #1-#2 screws in softwood.</t>
        </is>
      </c>
      <c r="E319" s="55" t="inlineStr">
        <is>
          <t>0.794 mm</t>
        </is>
      </c>
    </row>
    <row r="320" ht="36" customHeight="1">
      <c r="A320" s="51" t="inlineStr">
        <is>
          <t>drill_imperial_fractional_3_64_inch_diameter_mm</t>
        </is>
      </c>
      <c r="B320" s="52" t="inlineStr">
        <is>
          <t>1.191</t>
        </is>
      </c>
      <c r="C320" s="53" t="inlineStr">
        <is>
          <t>mm</t>
        </is>
      </c>
      <c r="D320" s="54" t="inlineStr">
        <is>
          <t>3/64" drill bit = 1.191 mm exactly. Nearest stocked metric: 1.2 mm. Pilot for #2-#3 screws in hardwood.</t>
        </is>
      </c>
      <c r="E320" s="55" t="inlineStr">
        <is>
          <t>1.191 mm</t>
        </is>
      </c>
    </row>
    <row r="321" ht="36" customHeight="1">
      <c r="A321" s="51" t="inlineStr">
        <is>
          <t>drill_imperial_fractional_1_16_inch_diameter_mm</t>
        </is>
      </c>
      <c r="B321" s="52" t="inlineStr">
        <is>
          <t>1.587</t>
        </is>
      </c>
      <c r="C321" s="53" t="inlineStr">
        <is>
          <t>mm</t>
        </is>
      </c>
      <c r="D321" s="54" t="inlineStr">
        <is>
          <t>1/16" drill bit = 1.587 mm exactly. Nearest stocked metric: 1.6 mm. Pilot for #2-#3 screws in softwood; #3-#4 in hardwood. Common starter size.</t>
        </is>
      </c>
      <c r="E321" s="55" t="inlineStr">
        <is>
          <t>1.587 mm</t>
        </is>
      </c>
    </row>
    <row r="322" ht="36" customHeight="1">
      <c r="A322" s="51" t="inlineStr">
        <is>
          <t>drill_imperial_fractional_5_64_inch_diameter_mm</t>
        </is>
      </c>
      <c r="B322" s="52" t="inlineStr">
        <is>
          <t>1.984</t>
        </is>
      </c>
      <c r="C322" s="53" t="inlineStr">
        <is>
          <t>mm</t>
        </is>
      </c>
      <c r="D322" s="54" t="inlineStr">
        <is>
          <t>5/64" drill bit = 1.984 mm exactly. Nearest stocked metric: 2.0 mm. Pilot for #4 screws in hardwood; #5 in softwood.</t>
        </is>
      </c>
      <c r="E322" s="55" t="inlineStr">
        <is>
          <t>1.984 mm</t>
        </is>
      </c>
    </row>
    <row r="323" ht="36" customHeight="1">
      <c r="A323" s="51" t="inlineStr">
        <is>
          <t>drill_imperial_fractional_3_32_inch_diameter_mm</t>
        </is>
      </c>
      <c r="B323" s="52" t="inlineStr">
        <is>
          <t>2.381</t>
        </is>
      </c>
      <c r="C323" s="53" t="inlineStr">
        <is>
          <t>mm</t>
        </is>
      </c>
      <c r="D323" s="54" t="inlineStr">
        <is>
          <t>3/32" drill bit = 2.381 mm exactly. Nearest stocked metric: 2.4 mm. Pilot for #4-#5 in softwood; #6 in hardwood. Very common size.</t>
        </is>
      </c>
      <c r="E323" s="55" t="inlineStr">
        <is>
          <t>2.381 mm</t>
        </is>
      </c>
    </row>
    <row r="324" ht="36" customHeight="1">
      <c r="A324" s="51" t="inlineStr">
        <is>
          <t>drill_imperial_fractional_7_64_inch_diameter_mm</t>
        </is>
      </c>
      <c r="B324" s="52" t="inlineStr">
        <is>
          <t>2.778</t>
        </is>
      </c>
      <c r="C324" s="53" t="inlineStr">
        <is>
          <t>mm</t>
        </is>
      </c>
      <c r="D324" s="54" t="inlineStr">
        <is>
          <t>7/64" drill bit = 2.778 mm exactly. Nearest stocked metric: 2.8 mm. Pilot for #6 in softwood; #8 in hardwood. Extremely common.</t>
        </is>
      </c>
      <c r="E324" s="55" t="inlineStr">
        <is>
          <t>2.778 mm</t>
        </is>
      </c>
    </row>
    <row r="325" ht="36" customHeight="1">
      <c r="A325" s="51" t="inlineStr">
        <is>
          <t>drill_imperial_fractional_1_8_inch_diameter_mm</t>
        </is>
      </c>
      <c r="B325" s="52" t="inlineStr">
        <is>
          <t>3.175</t>
        </is>
      </c>
      <c r="C325" s="53" t="inlineStr">
        <is>
          <t>mm</t>
        </is>
      </c>
      <c r="D325" s="54" t="inlineStr">
        <is>
          <t>1/8" drill bit = 3.175 mm exactly. Nearest stocked metric: 3.2 mm. Pilot for #8 in softwood; #10 in hardwood. Most-used general pilot bit.</t>
        </is>
      </c>
      <c r="E325" s="55" t="inlineStr">
        <is>
          <t>3.175 mm</t>
        </is>
      </c>
    </row>
    <row r="326" ht="36" customHeight="1">
      <c r="A326" s="51" t="inlineStr">
        <is>
          <t>drill_imperial_fractional_9_64_inch_diameter_mm</t>
        </is>
      </c>
      <c r="B326" s="52" t="inlineStr">
        <is>
          <t>3.572</t>
        </is>
      </c>
      <c r="C326" s="53" t="inlineStr">
        <is>
          <t>mm</t>
        </is>
      </c>
      <c r="D326" s="54" t="inlineStr">
        <is>
          <t>9/64" drill bit = 3.572 mm exactly. Nearest stocked metric: 3.6 mm. Pilot for #10 in hardwood; clearance for #6.</t>
        </is>
      </c>
      <c r="E326" s="55" t="inlineStr">
        <is>
          <t>3.572 mm</t>
        </is>
      </c>
    </row>
    <row r="327" ht="36" customHeight="1">
      <c r="A327" s="51" t="inlineStr">
        <is>
          <t>drill_imperial_fractional_5_32_inch_diameter_mm</t>
        </is>
      </c>
      <c r="B327" s="52" t="inlineStr">
        <is>
          <t>3.969</t>
        </is>
      </c>
      <c r="C327" s="53" t="inlineStr">
        <is>
          <t>mm</t>
        </is>
      </c>
      <c r="D327" s="54" t="inlineStr">
        <is>
          <t>5/32" drill bit = 3.969 mm exactly. Nearest stocked metric: 4.0 mm. Clearance for #8; pilot for #10-#12 in softwood.</t>
        </is>
      </c>
      <c r="E327" s="55" t="inlineStr">
        <is>
          <t>3.969 mm</t>
        </is>
      </c>
    </row>
    <row r="328" ht="36" customHeight="1">
      <c r="A328" s="51" t="inlineStr">
        <is>
          <t>drill_imperial_fractional_11_64_inch_diameter_mm</t>
        </is>
      </c>
      <c r="B328" s="52" t="inlineStr">
        <is>
          <t>4.366</t>
        </is>
      </c>
      <c r="C328" s="53" t="inlineStr">
        <is>
          <t>mm</t>
        </is>
      </c>
      <c r="D328" s="54" t="inlineStr">
        <is>
          <t>11/64" drill bit = 4.366 mm exactly. Nearest stocked metric: 4.4 mm. Pilot for #12 in hardwood.</t>
        </is>
      </c>
      <c r="E328" s="55" t="inlineStr">
        <is>
          <t>4.366 mm</t>
        </is>
      </c>
    </row>
    <row r="329" ht="36" customHeight="1">
      <c r="A329" s="51" t="inlineStr">
        <is>
          <t>drill_imperial_fractional_3_16_inch_diameter_mm</t>
        </is>
      </c>
      <c r="B329" s="52" t="inlineStr">
        <is>
          <t>4.762</t>
        </is>
      </c>
      <c r="C329" s="53" t="inlineStr">
        <is>
          <t>mm</t>
        </is>
      </c>
      <c r="D329" s="54" t="inlineStr">
        <is>
          <t>3/16" drill bit = 4.762 mm exactly. Nearest stocked metric: 4.8 mm. Clearance for #10; pilot for #14 in softwood; M4 clearance equivalent.</t>
        </is>
      </c>
      <c r="E329" s="55" t="inlineStr">
        <is>
          <t>4.762 mm</t>
        </is>
      </c>
    </row>
    <row r="330" ht="36" customHeight="1">
      <c r="A330" s="51" t="inlineStr">
        <is>
          <t>drill_imperial_fractional_13_64_inch_diameter_mm</t>
        </is>
      </c>
      <c r="B330" s="52" t="inlineStr">
        <is>
          <t>5.159</t>
        </is>
      </c>
      <c r="C330" s="53" t="inlineStr">
        <is>
          <t>mm</t>
        </is>
      </c>
      <c r="D330" s="54" t="inlineStr">
        <is>
          <t>13/64" drill bit = 5.159 mm exactly. Nearest stocked metric: 5.2 mm. Pilot for #14 in hardwood; lag bolt pilot (1/4in) in softwood.</t>
        </is>
      </c>
      <c r="E330" s="55" t="inlineStr">
        <is>
          <t>5.159 mm</t>
        </is>
      </c>
    </row>
    <row r="331" ht="36" customHeight="1">
      <c r="A331" s="51" t="inlineStr">
        <is>
          <t>drill_imperial_fractional_7_32_inch_diameter_mm</t>
        </is>
      </c>
      <c r="B331" s="52" t="inlineStr">
        <is>
          <t>5.556</t>
        </is>
      </c>
      <c r="C331" s="53" t="inlineStr">
        <is>
          <t>mm</t>
        </is>
      </c>
      <c r="D331" s="54" t="inlineStr">
        <is>
          <t>7/32" drill bit = 5.556 mm exactly. Nearest stocked metric: 5.6 mm. Clearance for #12; pilot for 1/4in lag bolt.</t>
        </is>
      </c>
      <c r="E331" s="55" t="inlineStr">
        <is>
          <t>5.556 mm</t>
        </is>
      </c>
    </row>
    <row r="332" ht="36" customHeight="1">
      <c r="A332" s="51" t="inlineStr">
        <is>
          <t>drill_imperial_fractional_15_64_inch_diameter_mm</t>
        </is>
      </c>
      <c r="B332" s="52" t="inlineStr">
        <is>
          <t>5.953</t>
        </is>
      </c>
      <c r="C332" s="53" t="inlineStr">
        <is>
          <t>mm</t>
        </is>
      </c>
      <c r="D332" s="54" t="inlineStr">
        <is>
          <t>15/64" drill bit = 5.953 mm exactly. Nearest stocked metric: 6.0 mm. Pilot for 1/4in lag bolt in hardwood.</t>
        </is>
      </c>
      <c r="E332" s="55" t="inlineStr">
        <is>
          <t>5.953 mm</t>
        </is>
      </c>
    </row>
    <row r="333" ht="36" customHeight="1">
      <c r="A333" s="51" t="inlineStr">
        <is>
          <t>drill_imperial_fractional_1_4_inch_diameter_mm</t>
        </is>
      </c>
      <c r="B333" s="52" t="inlineStr">
        <is>
          <t>6.35</t>
        </is>
      </c>
      <c r="C333" s="53" t="inlineStr">
        <is>
          <t>mm</t>
        </is>
      </c>
      <c r="D333" s="54" t="inlineStr">
        <is>
          <t>1/4" drill bit = 6.35 mm exactly. Nearest stocked metric: 6.3 mm. Clearance for #14; pilot for 5/16in lag bolt. Dowel/rod reference.</t>
        </is>
      </c>
      <c r="E333" s="55" t="inlineStr">
        <is>
          <t>6.35 mm</t>
        </is>
      </c>
    </row>
    <row r="334" ht="36" customHeight="1">
      <c r="A334" s="51" t="inlineStr">
        <is>
          <t>drill_imperial_fractional_17_64_inch_diameter_mm</t>
        </is>
      </c>
      <c r="B334" s="52" t="inlineStr">
        <is>
          <t>6.747</t>
        </is>
      </c>
      <c r="C334" s="53" t="inlineStr">
        <is>
          <t>mm</t>
        </is>
      </c>
      <c r="D334" s="54" t="inlineStr">
        <is>
          <t>17/64" drill bit = 6.747 mm exactly. Nearest stocked metric: 6.7 mm. Standard fractional drill bit 17/64 inch.</t>
        </is>
      </c>
      <c r="E334" s="55" t="inlineStr">
        <is>
          <t>6.747 mm</t>
        </is>
      </c>
    </row>
    <row r="335" ht="36" customHeight="1">
      <c r="A335" s="51" t="inlineStr">
        <is>
          <t>drill_imperial_fractional_9_32_inch_diameter_mm</t>
        </is>
      </c>
      <c r="B335" s="52" t="inlineStr">
        <is>
          <t>7.144</t>
        </is>
      </c>
      <c r="C335" s="53" t="inlineStr">
        <is>
          <t>mm</t>
        </is>
      </c>
      <c r="D335" s="54" t="inlineStr">
        <is>
          <t>9/32" drill bit = 7.144 mm exactly. Nearest stocked metric: 7.1 mm. Pilot for 5/16in lag bolt; clearance for #16.</t>
        </is>
      </c>
      <c r="E335" s="55" t="inlineStr">
        <is>
          <t>7.144 mm</t>
        </is>
      </c>
    </row>
    <row r="336" ht="36" customHeight="1">
      <c r="A336" s="51" t="inlineStr">
        <is>
          <t>drill_imperial_fractional_19_64_inch_diameter_mm</t>
        </is>
      </c>
      <c r="B336" s="52" t="inlineStr">
        <is>
          <t>7.541</t>
        </is>
      </c>
      <c r="C336" s="53" t="inlineStr">
        <is>
          <t>mm</t>
        </is>
      </c>
      <c r="D336" s="54" t="inlineStr">
        <is>
          <t>19/64" drill bit = 7.541 mm exactly. Nearest stocked metric: 7.5 mm. Standard fractional drill bit 19/64 inch.</t>
        </is>
      </c>
      <c r="E336" s="55" t="inlineStr">
        <is>
          <t>7.541 mm</t>
        </is>
      </c>
    </row>
    <row r="337" ht="36" customHeight="1">
      <c r="A337" s="51" t="inlineStr">
        <is>
          <t>drill_imperial_fractional_5_16_inch_diameter_mm</t>
        </is>
      </c>
      <c r="B337" s="52" t="inlineStr">
        <is>
          <t>7.938</t>
        </is>
      </c>
      <c r="C337" s="53" t="inlineStr">
        <is>
          <t>mm</t>
        </is>
      </c>
      <c r="D337" s="54" t="inlineStr">
        <is>
          <t>5/16" drill bit = 7.938 mm exactly. Nearest stocked metric: 7.9 mm. Clearance for 1/4in bolts; pilot for 3/8in lag bolt.</t>
        </is>
      </c>
      <c r="E337" s="55" t="inlineStr">
        <is>
          <t>7.938 mm</t>
        </is>
      </c>
    </row>
    <row r="338" ht="36" customHeight="1">
      <c r="A338" s="51" t="inlineStr">
        <is>
          <t>drill_imperial_fractional_21_64_inch_diameter_mm</t>
        </is>
      </c>
      <c r="B338" s="52" t="inlineStr">
        <is>
          <t>8.334</t>
        </is>
      </c>
      <c r="C338" s="53" t="inlineStr">
        <is>
          <t>mm</t>
        </is>
      </c>
      <c r="D338" s="54" t="inlineStr">
        <is>
          <t>21/64" drill bit = 8.334 mm exactly. Nearest stocked metric: 8.3 mm. Standard fractional drill bit 21/64 inch.</t>
        </is>
      </c>
      <c r="E338" s="55" t="inlineStr">
        <is>
          <t>8.334 mm</t>
        </is>
      </c>
    </row>
    <row r="339" ht="36" customHeight="1">
      <c r="A339" s="51" t="inlineStr">
        <is>
          <t>drill_imperial_fractional_11_32_inch_diameter_mm</t>
        </is>
      </c>
      <c r="B339" s="52" t="inlineStr">
        <is>
          <t>8.731</t>
        </is>
      </c>
      <c r="C339" s="53" t="inlineStr">
        <is>
          <t>mm</t>
        </is>
      </c>
      <c r="D339" s="54" t="inlineStr">
        <is>
          <t>11/32" drill bit = 8.731 mm exactly. Nearest stocked metric: 8.7 mm. Standard fractional drill bit 11/32 inch.</t>
        </is>
      </c>
      <c r="E339" s="55" t="inlineStr">
        <is>
          <t>8.731 mm</t>
        </is>
      </c>
    </row>
    <row r="340" ht="36" customHeight="1">
      <c r="A340" s="51" t="inlineStr">
        <is>
          <t>drill_imperial_fractional_23_64_inch_diameter_mm</t>
        </is>
      </c>
      <c r="B340" s="52" t="inlineStr">
        <is>
          <t>9.128</t>
        </is>
      </c>
      <c r="C340" s="53" t="inlineStr">
        <is>
          <t>mm</t>
        </is>
      </c>
      <c r="D340" s="54" t="inlineStr">
        <is>
          <t>23/64" drill bit = 9.128 mm exactly. Nearest stocked metric: 9.1 mm. Standard fractional drill bit 23/64 inch.</t>
        </is>
      </c>
      <c r="E340" s="55" t="inlineStr">
        <is>
          <t>9.128 mm</t>
        </is>
      </c>
    </row>
    <row r="341" ht="36" customHeight="1">
      <c r="A341" s="51" t="inlineStr">
        <is>
          <t>drill_imperial_fractional_3_8_inch_diameter_mm</t>
        </is>
      </c>
      <c r="B341" s="52" t="inlineStr">
        <is>
          <t>9.525</t>
        </is>
      </c>
      <c r="C341" s="53" t="inlineStr">
        <is>
          <t>mm</t>
        </is>
      </c>
      <c r="D341" s="54" t="inlineStr">
        <is>
          <t>3/8" drill bit = 9.525 mm exactly. Nearest stocked metric: 9.5 mm. Clearance for 5/16in bolts; large anchor pilot holes.</t>
        </is>
      </c>
      <c r="E341" s="55" t="inlineStr">
        <is>
          <t>9.525 mm</t>
        </is>
      </c>
    </row>
    <row r="342" ht="36" customHeight="1">
      <c r="A342" s="51" t="inlineStr">
        <is>
          <t>drill_imperial_fractional_25_64_inch_diameter_mm</t>
        </is>
      </c>
      <c r="B342" s="52" t="inlineStr">
        <is>
          <t>9.922</t>
        </is>
      </c>
      <c r="C342" s="53" t="inlineStr">
        <is>
          <t>mm</t>
        </is>
      </c>
      <c r="D342" s="54" t="inlineStr">
        <is>
          <t>25/64" drill bit = 9.922 mm exactly. Nearest stocked metric: 9.9 mm. Standard fractional drill bit 25/64 inch.</t>
        </is>
      </c>
      <c r="E342" s="55" t="inlineStr">
        <is>
          <t>9.922 mm</t>
        </is>
      </c>
    </row>
    <row r="343" ht="36" customHeight="1">
      <c r="A343" s="51" t="inlineStr">
        <is>
          <t>drill_imperial_fractional_13_32_inch_diameter_mm</t>
        </is>
      </c>
      <c r="B343" s="52" t="inlineStr">
        <is>
          <t>10.319</t>
        </is>
      </c>
      <c r="C343" s="53" t="inlineStr">
        <is>
          <t>mm</t>
        </is>
      </c>
      <c r="D343" s="54" t="inlineStr">
        <is>
          <t>13/32" drill bit = 10.319 mm exactly. Nearest stocked metric: 10.3 mm. Standard fractional drill bit 13/32 inch.</t>
        </is>
      </c>
      <c r="E343" s="55" t="inlineStr">
        <is>
          <t>10.319 mm</t>
        </is>
      </c>
    </row>
    <row r="344" ht="36" customHeight="1">
      <c r="A344" s="51" t="inlineStr">
        <is>
          <t>drill_imperial_fractional_27_64_inch_diameter_mm</t>
        </is>
      </c>
      <c r="B344" s="52" t="inlineStr">
        <is>
          <t>10.716</t>
        </is>
      </c>
      <c r="C344" s="53" t="inlineStr">
        <is>
          <t>mm</t>
        </is>
      </c>
      <c r="D344" s="54" t="inlineStr">
        <is>
          <t>27/64" drill bit = 10.716 mm exactly. Nearest stocked metric: 10.7 mm. Standard fractional drill bit 27/64 inch.</t>
        </is>
      </c>
      <c r="E344" s="55" t="inlineStr">
        <is>
          <t>10.716 mm</t>
        </is>
      </c>
    </row>
    <row r="345" ht="36" customHeight="1">
      <c r="A345" s="51" t="inlineStr">
        <is>
          <t>drill_imperial_fractional_7_16_inch_diameter_mm</t>
        </is>
      </c>
      <c r="B345" s="52" t="inlineStr">
        <is>
          <t>11.112</t>
        </is>
      </c>
      <c r="C345" s="53" t="inlineStr">
        <is>
          <t>mm</t>
        </is>
      </c>
      <c r="D345" s="54" t="inlineStr">
        <is>
          <t>7/16" drill bit = 11.112 mm exactly. Nearest stocked metric: 11.1 mm. Clearance for 3/8in bolts.</t>
        </is>
      </c>
      <c r="E345" s="55" t="inlineStr">
        <is>
          <t>11.112 mm</t>
        </is>
      </c>
    </row>
    <row r="346" ht="36" customHeight="1">
      <c r="A346" s="51" t="inlineStr">
        <is>
          <t>drill_imperial_fractional_29_64_inch_diameter_mm</t>
        </is>
      </c>
      <c r="B346" s="52" t="inlineStr">
        <is>
          <t>11.509</t>
        </is>
      </c>
      <c r="C346" s="53" t="inlineStr">
        <is>
          <t>mm</t>
        </is>
      </c>
      <c r="D346" s="54" t="inlineStr">
        <is>
          <t>29/64" drill bit = 11.509 mm exactly. Nearest stocked metric: 11.5 mm. Standard fractional drill bit 29/64 inch.</t>
        </is>
      </c>
      <c r="E346" s="55" t="inlineStr">
        <is>
          <t>11.509 mm</t>
        </is>
      </c>
    </row>
    <row r="347" ht="36" customHeight="1">
      <c r="A347" s="51" t="inlineStr">
        <is>
          <t>drill_imperial_fractional_15_32_inch_diameter_mm</t>
        </is>
      </c>
      <c r="B347" s="52" t="inlineStr">
        <is>
          <t>11.906</t>
        </is>
      </c>
      <c r="C347" s="53" t="inlineStr">
        <is>
          <t>mm</t>
        </is>
      </c>
      <c r="D347" s="54" t="inlineStr">
        <is>
          <t>15/32" drill bit = 11.906 mm exactly. Nearest stocked metric: 11.9 mm. Standard fractional drill bit 15/32 inch.</t>
        </is>
      </c>
      <c r="E347" s="55" t="inlineStr">
        <is>
          <t>11.906 mm</t>
        </is>
      </c>
    </row>
    <row r="348" ht="36" customHeight="1">
      <c r="A348" s="51" t="inlineStr">
        <is>
          <t>drill_imperial_fractional_31_64_inch_diameter_mm</t>
        </is>
      </c>
      <c r="B348" s="52" t="inlineStr">
        <is>
          <t>12.303</t>
        </is>
      </c>
      <c r="C348" s="53" t="inlineStr">
        <is>
          <t>mm</t>
        </is>
      </c>
      <c r="D348" s="54" t="inlineStr">
        <is>
          <t>31/64" drill bit = 12.303 mm exactly. Nearest stocked metric: 12.3 mm. Standard fractional drill bit 31/64 inch.</t>
        </is>
      </c>
      <c r="E348" s="55" t="inlineStr">
        <is>
          <t>12.303 mm</t>
        </is>
      </c>
    </row>
    <row r="349" ht="36" customHeight="1">
      <c r="A349" s="51" t="inlineStr">
        <is>
          <t>drill_imperial_fractional_1_2_inch_diameter_mm</t>
        </is>
      </c>
      <c r="B349" s="52" t="inlineStr">
        <is>
          <t>12.7</t>
        </is>
      </c>
      <c r="C349" s="53" t="inlineStr">
        <is>
          <t>mm</t>
        </is>
      </c>
      <c r="D349" s="54" t="inlineStr">
        <is>
          <t>1/2" drill bit = 12.7 mm exactly. Nearest stocked metric: 12.7 mm. Clearance for 7/16in bolts; lock/hinge mortise reference.</t>
        </is>
      </c>
      <c r="E349" s="55" t="inlineStr">
        <is>
          <t>12.7 mm</t>
        </is>
      </c>
    </row>
    <row r="350" ht="36" customHeight="1">
      <c r="A350" s="51" t="inlineStr">
        <is>
          <t>drill_imperial_fractional_33_64_inch_diameter_mm</t>
        </is>
      </c>
      <c r="B350" s="52" t="inlineStr">
        <is>
          <t>13.097</t>
        </is>
      </c>
      <c r="C350" s="53" t="inlineStr">
        <is>
          <t>mm</t>
        </is>
      </c>
      <c r="D350" s="54" t="inlineStr">
        <is>
          <t>33/64" drill bit = 13.097 mm exactly. Nearest stocked metric: 13.1 mm. Standard fractional drill bit 33/64 inch.</t>
        </is>
      </c>
      <c r="E350" s="55" t="inlineStr">
        <is>
          <t>13.097 mm</t>
        </is>
      </c>
    </row>
    <row r="351" ht="36" customHeight="1">
      <c r="A351" s="51" t="inlineStr">
        <is>
          <t>drill_imperial_fractional_17_32_inch_diameter_mm</t>
        </is>
      </c>
      <c r="B351" s="52" t="inlineStr">
        <is>
          <t>13.494</t>
        </is>
      </c>
      <c r="C351" s="53" t="inlineStr">
        <is>
          <t>mm</t>
        </is>
      </c>
      <c r="D351" s="54" t="inlineStr">
        <is>
          <t>17/32" drill bit = 13.494 mm exactly. Nearest stocked metric: 13.5 mm. Standard fractional drill bit 17/32 inch.</t>
        </is>
      </c>
      <c r="E351" s="55" t="inlineStr">
        <is>
          <t>13.494 mm</t>
        </is>
      </c>
    </row>
    <row r="352" ht="36" customHeight="1">
      <c r="A352" s="51" t="inlineStr">
        <is>
          <t>drill_imperial_fractional_35_64_inch_diameter_mm</t>
        </is>
      </c>
      <c r="B352" s="52" t="inlineStr">
        <is>
          <t>13.891</t>
        </is>
      </c>
      <c r="C352" s="53" t="inlineStr">
        <is>
          <t>mm</t>
        </is>
      </c>
      <c r="D352" s="54" t="inlineStr">
        <is>
          <t>35/64" drill bit = 13.891 mm exactly. Nearest stocked metric: 13.9 mm. Standard fractional drill bit 35/64 inch.</t>
        </is>
      </c>
      <c r="E352" s="55" t="inlineStr">
        <is>
          <t>13.891 mm</t>
        </is>
      </c>
    </row>
    <row r="353" ht="36" customHeight="1">
      <c r="A353" s="51" t="inlineStr">
        <is>
          <t>drill_imperial_fractional_9_16_inch_diameter_mm</t>
        </is>
      </c>
      <c r="B353" s="52" t="inlineStr">
        <is>
          <t>14.287</t>
        </is>
      </c>
      <c r="C353" s="53" t="inlineStr">
        <is>
          <t>mm</t>
        </is>
      </c>
      <c r="D353" s="54" t="inlineStr">
        <is>
          <t>9/16" drill bit = 14.287 mm exactly. Nearest stocked metric: 14.3 mm. Clearance for 1/2in bolts.</t>
        </is>
      </c>
      <c r="E353" s="55" t="inlineStr">
        <is>
          <t>14.287 mm</t>
        </is>
      </c>
    </row>
    <row r="354" ht="36" customHeight="1">
      <c r="A354" s="51" t="inlineStr">
        <is>
          <t>drill_imperial_fractional_37_64_inch_diameter_mm</t>
        </is>
      </c>
      <c r="B354" s="52" t="inlineStr">
        <is>
          <t>14.684</t>
        </is>
      </c>
      <c r="C354" s="53" t="inlineStr">
        <is>
          <t>mm</t>
        </is>
      </c>
      <c r="D354" s="54" t="inlineStr">
        <is>
          <t>37/64" drill bit = 14.684 mm exactly. Nearest stocked metric: 14.7 mm. Standard fractional drill bit 37/64 inch.</t>
        </is>
      </c>
      <c r="E354" s="55" t="inlineStr">
        <is>
          <t>14.684 mm</t>
        </is>
      </c>
    </row>
    <row r="355" ht="36" customHeight="1">
      <c r="A355" s="51" t="inlineStr">
        <is>
          <t>drill_imperial_fractional_19_32_inch_diameter_mm</t>
        </is>
      </c>
      <c r="B355" s="52" t="inlineStr">
        <is>
          <t>15.081</t>
        </is>
      </c>
      <c r="C355" s="53" t="inlineStr">
        <is>
          <t>mm</t>
        </is>
      </c>
      <c r="D355" s="54" t="inlineStr">
        <is>
          <t>19/32" drill bit = 15.081 mm exactly. Nearest stocked metric: 15.1 mm. Standard fractional drill bit 19/32 inch.</t>
        </is>
      </c>
      <c r="E355" s="55" t="inlineStr">
        <is>
          <t>15.081 mm</t>
        </is>
      </c>
    </row>
    <row r="356" ht="36" customHeight="1">
      <c r="A356" s="51" t="inlineStr">
        <is>
          <t>drill_imperial_fractional_39_64_inch_diameter_mm</t>
        </is>
      </c>
      <c r="B356" s="52" t="inlineStr">
        <is>
          <t>15.478</t>
        </is>
      </c>
      <c r="C356" s="53" t="inlineStr">
        <is>
          <t>mm</t>
        </is>
      </c>
      <c r="D356" s="54" t="inlineStr">
        <is>
          <t>39/64" drill bit = 15.478 mm exactly. Nearest stocked metric: 15.5 mm. Standard fractional drill bit 39/64 inch.</t>
        </is>
      </c>
      <c r="E356" s="55" t="inlineStr">
        <is>
          <t>15.478 mm</t>
        </is>
      </c>
    </row>
    <row r="357" ht="36" customHeight="1">
      <c r="A357" s="51" t="inlineStr">
        <is>
          <t>drill_imperial_fractional_5_8_inch_diameter_mm</t>
        </is>
      </c>
      <c r="B357" s="52" t="inlineStr">
        <is>
          <t>15.875</t>
        </is>
      </c>
      <c r="C357" s="53" t="inlineStr">
        <is>
          <t>mm</t>
        </is>
      </c>
      <c r="D357" s="54" t="inlineStr">
        <is>
          <t>5/8" drill bit = 15.875 mm exactly. Nearest stocked metric: 15.9 mm. Large anchor and clearance work.</t>
        </is>
      </c>
      <c r="E357" s="55" t="inlineStr">
        <is>
          <t>15.875 mm</t>
        </is>
      </c>
    </row>
    <row r="358" ht="36" customHeight="1">
      <c r="A358" s="51" t="inlineStr">
        <is>
          <t>drill_imperial_fractional_41_64_inch_diameter_mm</t>
        </is>
      </c>
      <c r="B358" s="52" t="inlineStr">
        <is>
          <t>16.272</t>
        </is>
      </c>
      <c r="C358" s="53" t="inlineStr">
        <is>
          <t>mm</t>
        </is>
      </c>
      <c r="D358" s="54" t="inlineStr">
        <is>
          <t>41/64" drill bit = 16.272 mm exactly. Nearest stocked metric: 16.3 mm. Standard fractional drill bit 41/64 inch.</t>
        </is>
      </c>
      <c r="E358" s="55" t="inlineStr">
        <is>
          <t>16.272 mm</t>
        </is>
      </c>
    </row>
    <row r="359" ht="36" customHeight="1">
      <c r="A359" s="51" t="inlineStr">
        <is>
          <t>drill_imperial_fractional_21_32_inch_diameter_mm</t>
        </is>
      </c>
      <c r="B359" s="52" t="inlineStr">
        <is>
          <t>16.669</t>
        </is>
      </c>
      <c r="C359" s="53" t="inlineStr">
        <is>
          <t>mm</t>
        </is>
      </c>
      <c r="D359" s="54" t="inlineStr">
        <is>
          <t>21/32" drill bit = 16.669 mm exactly. Nearest stocked metric: 16.7 mm. Standard fractional drill bit 21/32 inch.</t>
        </is>
      </c>
      <c r="E359" s="55" t="inlineStr">
        <is>
          <t>16.669 mm</t>
        </is>
      </c>
    </row>
    <row r="360" ht="36" customHeight="1">
      <c r="A360" s="51" t="inlineStr">
        <is>
          <t>drill_imperial_fractional_43_64_inch_diameter_mm</t>
        </is>
      </c>
      <c r="B360" s="52" t="inlineStr">
        <is>
          <t>17.066</t>
        </is>
      </c>
      <c r="C360" s="53" t="inlineStr">
        <is>
          <t>mm</t>
        </is>
      </c>
      <c r="D360" s="54" t="inlineStr">
        <is>
          <t>43/64" drill bit = 17.066 mm exactly. Nearest stocked metric: 17.1 mm. Standard fractional drill bit 43/64 inch.</t>
        </is>
      </c>
      <c r="E360" s="55" t="inlineStr">
        <is>
          <t>17.066 mm</t>
        </is>
      </c>
    </row>
    <row r="361" ht="36" customHeight="1">
      <c r="A361" s="51" t="inlineStr">
        <is>
          <t>drill_imperial_fractional_11_16_inch_diameter_mm</t>
        </is>
      </c>
      <c r="B361" s="52" t="inlineStr">
        <is>
          <t>17.462</t>
        </is>
      </c>
      <c r="C361" s="53" t="inlineStr">
        <is>
          <t>mm</t>
        </is>
      </c>
      <c r="D361" s="54" t="inlineStr">
        <is>
          <t>11/16" drill bit = 17.462 mm exactly. Nearest stocked metric: 17.5 mm. Clearance for 5/8in bolts.</t>
        </is>
      </c>
      <c r="E361" s="55" t="inlineStr">
        <is>
          <t>17.462 mm</t>
        </is>
      </c>
    </row>
    <row r="362" ht="36" customHeight="1">
      <c r="A362" s="51" t="inlineStr">
        <is>
          <t>drill_imperial_fractional_45_64_inch_diameter_mm</t>
        </is>
      </c>
      <c r="B362" s="52" t="inlineStr">
        <is>
          <t>17.859</t>
        </is>
      </c>
      <c r="C362" s="53" t="inlineStr">
        <is>
          <t>mm</t>
        </is>
      </c>
      <c r="D362" s="54" t="inlineStr">
        <is>
          <t>45/64" drill bit = 17.859 mm exactly. Nearest stocked metric: 17.9 mm. Standard fractional drill bit 45/64 inch.</t>
        </is>
      </c>
      <c r="E362" s="55" t="inlineStr">
        <is>
          <t>17.859 mm</t>
        </is>
      </c>
    </row>
    <row r="363" ht="36" customHeight="1">
      <c r="A363" s="51" t="inlineStr">
        <is>
          <t>drill_imperial_fractional_23_32_inch_diameter_mm</t>
        </is>
      </c>
      <c r="B363" s="52" t="inlineStr">
        <is>
          <t>18.256</t>
        </is>
      </c>
      <c r="C363" s="53" t="inlineStr">
        <is>
          <t>mm</t>
        </is>
      </c>
      <c r="D363" s="54" t="inlineStr">
        <is>
          <t>23/32" drill bit = 18.256 mm exactly. Nearest stocked metric: 18.3 mm. Standard fractional drill bit 23/32 inch.</t>
        </is>
      </c>
      <c r="E363" s="55" t="inlineStr">
        <is>
          <t>18.256 mm</t>
        </is>
      </c>
    </row>
    <row r="364" ht="36" customHeight="1">
      <c r="A364" s="51" t="inlineStr">
        <is>
          <t>drill_imperial_fractional_47_64_inch_diameter_mm</t>
        </is>
      </c>
      <c r="B364" s="52" t="inlineStr">
        <is>
          <t>18.653</t>
        </is>
      </c>
      <c r="C364" s="53" t="inlineStr">
        <is>
          <t>mm</t>
        </is>
      </c>
      <c r="D364" s="54" t="inlineStr">
        <is>
          <t>47/64" drill bit = 18.653 mm exactly. Nearest stocked metric: 18.7 mm. Standard fractional drill bit 47/64 inch.</t>
        </is>
      </c>
      <c r="E364" s="55" t="inlineStr">
        <is>
          <t>18.653 mm</t>
        </is>
      </c>
    </row>
    <row r="365" ht="36" customHeight="1">
      <c r="A365" s="51" t="inlineStr">
        <is>
          <t>drill_imperial_fractional_3_4_inch_diameter_mm</t>
        </is>
      </c>
      <c r="B365" s="52" t="inlineStr">
        <is>
          <t>19.05</t>
        </is>
      </c>
      <c r="C365" s="53" t="inlineStr">
        <is>
          <t>mm</t>
        </is>
      </c>
      <c r="D365" s="54" t="inlineStr">
        <is>
          <t>3/4" drill bit = 19.05 mm exactly. Nearest stocked metric: 19.0 mm. Large clearance and boring work; common Forstner reference.</t>
        </is>
      </c>
      <c r="E365" s="55" t="inlineStr">
        <is>
          <t>19.05 mm</t>
        </is>
      </c>
    </row>
    <row r="366" ht="36" customHeight="1">
      <c r="A366" s="51" t="inlineStr">
        <is>
          <t>drill_imperial_fractional_49_64_inch_diameter_mm</t>
        </is>
      </c>
      <c r="B366" s="52" t="inlineStr">
        <is>
          <t>19.447</t>
        </is>
      </c>
      <c r="C366" s="53" t="inlineStr">
        <is>
          <t>mm</t>
        </is>
      </c>
      <c r="D366" s="54" t="inlineStr">
        <is>
          <t>49/64" drill bit = 19.447 mm exactly. Nearest stocked metric: 19.4 mm. Standard fractional drill bit 49/64 inch.</t>
        </is>
      </c>
      <c r="E366" s="55" t="inlineStr">
        <is>
          <t>19.447 mm</t>
        </is>
      </c>
    </row>
    <row r="367" ht="36" customHeight="1">
      <c r="A367" s="51" t="inlineStr">
        <is>
          <t>drill_imperial_fractional_25_32_inch_diameter_mm</t>
        </is>
      </c>
      <c r="B367" s="52" t="inlineStr">
        <is>
          <t>19.844</t>
        </is>
      </c>
      <c r="C367" s="53" t="inlineStr">
        <is>
          <t>mm</t>
        </is>
      </c>
      <c r="D367" s="54" t="inlineStr">
        <is>
          <t>25/32" drill bit = 19.844 mm exactly. Nearest stocked metric: 19.8 mm. Standard fractional drill bit 25/32 inch.</t>
        </is>
      </c>
      <c r="E367" s="55" t="inlineStr">
        <is>
          <t>19.844 mm</t>
        </is>
      </c>
    </row>
    <row r="368" ht="36" customHeight="1">
      <c r="A368" s="51" t="inlineStr">
        <is>
          <t>drill_imperial_fractional_51_64_inch_diameter_mm</t>
        </is>
      </c>
      <c r="B368" s="52" t="inlineStr">
        <is>
          <t>20.241</t>
        </is>
      </c>
      <c r="C368" s="53" t="inlineStr">
        <is>
          <t>mm</t>
        </is>
      </c>
      <c r="D368" s="54" t="inlineStr">
        <is>
          <t>51/64" drill bit = 20.241 mm exactly. Nearest stocked metric: 20.2 mm. Standard fractional drill bit 51/64 inch.</t>
        </is>
      </c>
      <c r="E368" s="55" t="inlineStr">
        <is>
          <t>20.241 mm</t>
        </is>
      </c>
    </row>
    <row r="369" ht="36" customHeight="1">
      <c r="A369" s="51" t="inlineStr">
        <is>
          <t>drill_imperial_fractional_13_16_inch_diameter_mm</t>
        </is>
      </c>
      <c r="B369" s="52" t="inlineStr">
        <is>
          <t>20.637</t>
        </is>
      </c>
      <c r="C369" s="53" t="inlineStr">
        <is>
          <t>mm</t>
        </is>
      </c>
      <c r="D369" s="54" t="inlineStr">
        <is>
          <t>13/16" drill bit = 20.637 mm exactly. Nearest stocked metric: 20.6 mm. Standard fractional drill bit 13/16 inch.</t>
        </is>
      </c>
      <c r="E369" s="55" t="inlineStr">
        <is>
          <t>20.637 mm</t>
        </is>
      </c>
    </row>
    <row r="370" ht="36" customHeight="1">
      <c r="A370" s="51" t="inlineStr">
        <is>
          <t>drill_imperial_fractional_53_64_inch_diameter_mm</t>
        </is>
      </c>
      <c r="B370" s="52" t="inlineStr">
        <is>
          <t>21.034</t>
        </is>
      </c>
      <c r="C370" s="53" t="inlineStr">
        <is>
          <t>mm</t>
        </is>
      </c>
      <c r="D370" s="54" t="inlineStr">
        <is>
          <t>53/64" drill bit = 21.034 mm exactly. Nearest stocked metric: 21.0 mm. Standard fractional drill bit 53/64 inch.</t>
        </is>
      </c>
      <c r="E370" s="55" t="inlineStr">
        <is>
          <t>21.034 mm</t>
        </is>
      </c>
    </row>
    <row r="371" ht="36" customHeight="1">
      <c r="A371" s="51" t="inlineStr">
        <is>
          <t>drill_imperial_fractional_27_32_inch_diameter_mm</t>
        </is>
      </c>
      <c r="B371" s="52" t="inlineStr">
        <is>
          <t>21.431</t>
        </is>
      </c>
      <c r="C371" s="53" t="inlineStr">
        <is>
          <t>mm</t>
        </is>
      </c>
      <c r="D371" s="54" t="inlineStr">
        <is>
          <t>27/32" drill bit = 21.431 mm exactly. Nearest stocked metric: 21.4 mm. Standard fractional drill bit 27/32 inch.</t>
        </is>
      </c>
      <c r="E371" s="55" t="inlineStr">
        <is>
          <t>21.431 mm</t>
        </is>
      </c>
    </row>
    <row r="372" ht="36" customHeight="1">
      <c r="A372" s="51" t="inlineStr">
        <is>
          <t>drill_imperial_fractional_55_64_inch_diameter_mm</t>
        </is>
      </c>
      <c r="B372" s="52" t="inlineStr">
        <is>
          <t>21.828</t>
        </is>
      </c>
      <c r="C372" s="53" t="inlineStr">
        <is>
          <t>mm</t>
        </is>
      </c>
      <c r="D372" s="54" t="inlineStr">
        <is>
          <t>55/64" drill bit = 21.828 mm exactly. Nearest stocked metric: 21.8 mm. Standard fractional drill bit 55/64 inch.</t>
        </is>
      </c>
      <c r="E372" s="55" t="inlineStr">
        <is>
          <t>21.828 mm</t>
        </is>
      </c>
    </row>
    <row r="373" ht="36" customHeight="1">
      <c r="A373" s="51" t="inlineStr">
        <is>
          <t>drill_imperial_fractional_7_8_inch_diameter_mm</t>
        </is>
      </c>
      <c r="B373" s="52" t="inlineStr">
        <is>
          <t>22.225</t>
        </is>
      </c>
      <c r="C373" s="53" t="inlineStr">
        <is>
          <t>mm</t>
        </is>
      </c>
      <c r="D373" s="54" t="inlineStr">
        <is>
          <t>7/8" drill bit = 22.225 mm exactly. Nearest stocked metric: 22.2 mm. Large boring; clearance for 3/4in bolts.</t>
        </is>
      </c>
      <c r="E373" s="55" t="inlineStr">
        <is>
          <t>22.225 mm</t>
        </is>
      </c>
    </row>
    <row r="374" ht="36" customHeight="1">
      <c r="A374" s="51" t="inlineStr">
        <is>
          <t>drill_imperial_fractional_57_64_inch_diameter_mm</t>
        </is>
      </c>
      <c r="B374" s="52" t="inlineStr">
        <is>
          <t>22.622</t>
        </is>
      </c>
      <c r="C374" s="53" t="inlineStr">
        <is>
          <t>mm</t>
        </is>
      </c>
      <c r="D374" s="54" t="inlineStr">
        <is>
          <t>57/64" drill bit = 22.622 mm exactly. Nearest stocked metric: 22.6 mm. Standard fractional drill bit 57/64 inch.</t>
        </is>
      </c>
      <c r="E374" s="55" t="inlineStr">
        <is>
          <t>22.622 mm</t>
        </is>
      </c>
    </row>
    <row r="375" ht="36" customHeight="1">
      <c r="A375" s="51" t="inlineStr">
        <is>
          <t>drill_imperial_fractional_29_32_inch_diameter_mm</t>
        </is>
      </c>
      <c r="B375" s="52" t="inlineStr">
        <is>
          <t>23.019</t>
        </is>
      </c>
      <c r="C375" s="53" t="inlineStr">
        <is>
          <t>mm</t>
        </is>
      </c>
      <c r="D375" s="54" t="inlineStr">
        <is>
          <t>29/32" drill bit = 23.019 mm exactly. Nearest stocked metric: 23.0 mm. Standard fractional drill bit 29/32 inch.</t>
        </is>
      </c>
      <c r="E375" s="55" t="inlineStr">
        <is>
          <t>23.019 mm</t>
        </is>
      </c>
    </row>
    <row r="376" ht="36" customHeight="1">
      <c r="A376" s="51" t="inlineStr">
        <is>
          <t>drill_imperial_fractional_59_64_inch_diameter_mm</t>
        </is>
      </c>
      <c r="B376" s="52" t="inlineStr">
        <is>
          <t>23.416</t>
        </is>
      </c>
      <c r="C376" s="53" t="inlineStr">
        <is>
          <t>mm</t>
        </is>
      </c>
      <c r="D376" s="54" t="inlineStr">
        <is>
          <t>59/64" drill bit = 23.416 mm exactly. Nearest stocked metric: 23.4 mm. Standard fractional drill bit 59/64 inch.</t>
        </is>
      </c>
      <c r="E376" s="55" t="inlineStr">
        <is>
          <t>23.416 mm</t>
        </is>
      </c>
    </row>
    <row r="377" ht="36" customHeight="1">
      <c r="A377" s="51" t="inlineStr">
        <is>
          <t>drill_imperial_fractional_15_16_inch_diameter_mm</t>
        </is>
      </c>
      <c r="B377" s="52" t="inlineStr">
        <is>
          <t>23.812</t>
        </is>
      </c>
      <c r="C377" s="53" t="inlineStr">
        <is>
          <t>mm</t>
        </is>
      </c>
      <c r="D377" s="54" t="inlineStr">
        <is>
          <t>15/16" drill bit = 23.812 mm exactly. Nearest stocked metric: 23.8 mm. Standard fractional drill bit 15/16 inch.</t>
        </is>
      </c>
      <c r="E377" s="55" t="inlineStr">
        <is>
          <t>23.812 mm</t>
        </is>
      </c>
    </row>
    <row r="378" ht="36" customHeight="1">
      <c r="A378" s="51" t="inlineStr">
        <is>
          <t>drill_imperial_fractional_61_64_inch_diameter_mm</t>
        </is>
      </c>
      <c r="B378" s="52" t="inlineStr">
        <is>
          <t>24.209</t>
        </is>
      </c>
      <c r="C378" s="53" t="inlineStr">
        <is>
          <t>mm</t>
        </is>
      </c>
      <c r="D378" s="54" t="inlineStr">
        <is>
          <t>61/64" drill bit = 24.209 mm exactly. Nearest stocked metric: 24.2 mm. Standard fractional drill bit 61/64 inch.</t>
        </is>
      </c>
      <c r="E378" s="55" t="inlineStr">
        <is>
          <t>24.209 mm</t>
        </is>
      </c>
    </row>
    <row r="379" ht="36" customHeight="1">
      <c r="A379" s="51" t="inlineStr">
        <is>
          <t>drill_imperial_fractional_31_32_inch_diameter_mm</t>
        </is>
      </c>
      <c r="B379" s="52" t="inlineStr">
        <is>
          <t>24.606</t>
        </is>
      </c>
      <c r="C379" s="53" t="inlineStr">
        <is>
          <t>mm</t>
        </is>
      </c>
      <c r="D379" s="54" t="inlineStr">
        <is>
          <t>31/32" drill bit = 24.606 mm exactly. Nearest stocked metric: 24.6 mm. Standard fractional drill bit 31/32 inch.</t>
        </is>
      </c>
      <c r="E379" s="55" t="inlineStr">
        <is>
          <t>24.606 mm</t>
        </is>
      </c>
    </row>
    <row r="380" ht="36" customHeight="1">
      <c r="A380" s="51" t="inlineStr">
        <is>
          <t>drill_imperial_fractional_63_64_inch_diameter_mm</t>
        </is>
      </c>
      <c r="B380" s="52" t="inlineStr">
        <is>
          <t>25.003</t>
        </is>
      </c>
      <c r="C380" s="53" t="inlineStr">
        <is>
          <t>mm</t>
        </is>
      </c>
      <c r="D380" s="54" t="inlineStr">
        <is>
          <t>63/64" drill bit = 25.003 mm exactly. Nearest stocked metric: 25.0 mm. Standard fractional drill bit 63/64 inch.</t>
        </is>
      </c>
      <c r="E380" s="55" t="inlineStr">
        <is>
          <t>25.003 mm</t>
        </is>
      </c>
    </row>
    <row r="381" ht="36" customHeight="1">
      <c r="A381" s="51" t="inlineStr">
        <is>
          <t>drill_imperial_fractional_1_1_inch_diameter_mm</t>
        </is>
      </c>
      <c r="B381" s="52" t="inlineStr">
        <is>
          <t>25.4</t>
        </is>
      </c>
      <c r="C381" s="53" t="inlineStr">
        <is>
          <t>mm</t>
        </is>
      </c>
      <c r="D381" s="54" t="inlineStr">
        <is>
          <t>1/1" drill bit = 25.4 mm exactly. Nearest stocked metric: 25.4 mm. Full 1 inch — large boring, lock cylinders, pipe holes.</t>
        </is>
      </c>
      <c r="E381" s="55" t="inlineStr">
        <is>
          <t>25.4 mm</t>
        </is>
      </c>
    </row>
    <row r="382" ht="18" customHeight="1">
      <c r="A382" s="4" t="inlineStr">
        <is>
          <t>🪛  WOOD SCREWS  —  gauge diameters &amp; pilot holes (ASME B18.6.1)</t>
        </is>
      </c>
    </row>
    <row r="383" ht="36" customHeight="1">
      <c r="A383" s="56" t="inlineStr">
        <is>
          <t>woodscrew_gauge_00_major_diameter_mm</t>
        </is>
      </c>
      <c r="B383" s="57" t="inlineStr">
        <is>
          <t>1.52</t>
        </is>
      </c>
      <c r="C383" s="58" t="inlineStr">
        <is>
          <t>mm</t>
        </is>
      </c>
      <c r="D383" s="59" t="inlineStr">
        <is>
          <t>#0 wood screw major thread diameter (ASME B18.6.1). Formula: 0.060 + (0×0.013) = 0.06". Tiny - electronics, fine woodwork.</t>
        </is>
      </c>
      <c r="E383" s="60" t="inlineStr">
        <is>
          <t>1.52 mm</t>
        </is>
      </c>
    </row>
    <row r="384" ht="36" customHeight="1">
      <c r="A384" s="56" t="inlineStr">
        <is>
          <t>woodscrew_gauge_00_pilot_hole_softwood_mm</t>
        </is>
      </c>
      <c r="B384" s="57" t="inlineStr">
        <is>
          <t>1.2</t>
        </is>
      </c>
      <c r="C384" s="58" t="inlineStr">
        <is>
          <t>mm</t>
        </is>
      </c>
      <c r="D384" s="59" t="inlineStr">
        <is>
          <t>#0 pilot hole in softwood (pine, fir, cedar, spruce) — ~75% of major dia. Tiny - electronics, fine woodwork.</t>
        </is>
      </c>
      <c r="E384" s="60" t="inlineStr">
        <is>
          <t>1.2 mm</t>
        </is>
      </c>
    </row>
    <row r="385" ht="36" customHeight="1">
      <c r="A385" s="56" t="inlineStr">
        <is>
          <t>woodscrew_gauge_00_pilot_hole_hardwood_mm</t>
        </is>
      </c>
      <c r="B385" s="57" t="inlineStr">
        <is>
          <t>1.4</t>
        </is>
      </c>
      <c r="C385" s="58" t="inlineStr">
        <is>
          <t>mm</t>
        </is>
      </c>
      <c r="D385" s="59" t="inlineStr">
        <is>
          <t>#0 pilot hole in hardwood (oak, maple, walnut, cherry) — ~85% of major dia. Always drill hardwood regardless of gauge. Tiny - electronics, fine woodwork.</t>
        </is>
      </c>
      <c r="E385" s="60" t="inlineStr">
        <is>
          <t>1.4 mm</t>
        </is>
      </c>
    </row>
    <row r="386" ht="36" customHeight="1">
      <c r="A386" s="56" t="inlineStr">
        <is>
          <t>woodscrew_gauge_00_clearance_hole_top_board_mm</t>
        </is>
      </c>
      <c r="B386" s="57" t="inlineStr">
        <is>
          <t>1.8</t>
        </is>
      </c>
      <c r="C386" s="58" t="inlineStr">
        <is>
          <t>mm</t>
        </is>
      </c>
      <c r="D386" s="59" t="inlineStr">
        <is>
          <t>#0 clearance through-hole in top board — allows shank to pass freely so screw pulls pieces together. Major dia + 0.2-0.4 mm.</t>
        </is>
      </c>
      <c r="E386" s="60" t="inlineStr">
        <is>
          <t>1.8 mm</t>
        </is>
      </c>
    </row>
    <row r="387" ht="36" customHeight="1">
      <c r="A387" s="56" t="inlineStr">
        <is>
          <t>woodscrew_gauge_01_major_diameter_mm</t>
        </is>
      </c>
      <c r="B387" s="57" t="inlineStr">
        <is>
          <t>1.85</t>
        </is>
      </c>
      <c r="C387" s="58" t="inlineStr">
        <is>
          <t>mm</t>
        </is>
      </c>
      <c r="D387" s="59" t="inlineStr">
        <is>
          <t>#1 wood screw major thread diameter (ASME B18.6.1). Formula: 0.060 + (1×0.013) = 0.073". Jewelry boxes, small hinges.</t>
        </is>
      </c>
      <c r="E387" s="60" t="inlineStr">
        <is>
          <t>1.85 mm</t>
        </is>
      </c>
    </row>
    <row r="388" ht="36" customHeight="1">
      <c r="A388" s="56" t="inlineStr">
        <is>
          <t>woodscrew_gauge_01_pilot_hole_softwood_mm</t>
        </is>
      </c>
      <c r="B388" s="57" t="inlineStr">
        <is>
          <t>1.4</t>
        </is>
      </c>
      <c r="C388" s="58" t="inlineStr">
        <is>
          <t>mm</t>
        </is>
      </c>
      <c r="D388" s="59" t="inlineStr">
        <is>
          <t>#1 pilot hole in softwood (pine, fir, cedar, spruce) — ~75% of major dia. Jewelry boxes, small hinges.</t>
        </is>
      </c>
      <c r="E388" s="60" t="inlineStr">
        <is>
          <t>1.4 mm</t>
        </is>
      </c>
    </row>
    <row r="389" ht="36" customHeight="1">
      <c r="A389" s="56" t="inlineStr">
        <is>
          <t>woodscrew_gauge_01_pilot_hole_hardwood_mm</t>
        </is>
      </c>
      <c r="B389" s="57" t="inlineStr">
        <is>
          <t>1.6</t>
        </is>
      </c>
      <c r="C389" s="58" t="inlineStr">
        <is>
          <t>mm</t>
        </is>
      </c>
      <c r="D389" s="59" t="inlineStr">
        <is>
          <t>#1 pilot hole in hardwood (oak, maple, walnut, cherry) — ~85% of major dia. Always drill hardwood regardless of gauge. Jewelry boxes, small hinges.</t>
        </is>
      </c>
      <c r="E389" s="60" t="inlineStr">
        <is>
          <t>1.6 mm</t>
        </is>
      </c>
    </row>
    <row r="390" ht="36" customHeight="1">
      <c r="A390" s="56" t="inlineStr">
        <is>
          <t>woodscrew_gauge_01_clearance_hole_top_board_mm</t>
        </is>
      </c>
      <c r="B390" s="57" t="inlineStr">
        <is>
          <t>2.1</t>
        </is>
      </c>
      <c r="C390" s="58" t="inlineStr">
        <is>
          <t>mm</t>
        </is>
      </c>
      <c r="D390" s="59" t="inlineStr">
        <is>
          <t>#1 clearance through-hole in top board — allows shank to pass freely so screw pulls pieces together. Major dia + 0.2-0.4 mm.</t>
        </is>
      </c>
      <c r="E390" s="60" t="inlineStr">
        <is>
          <t>2.1 mm</t>
        </is>
      </c>
    </row>
    <row r="391" ht="36" customHeight="1">
      <c r="A391" s="56" t="inlineStr">
        <is>
          <t>woodscrew_gauge_02_major_diameter_mm</t>
        </is>
      </c>
      <c r="B391" s="57" t="inlineStr">
        <is>
          <t>2.18</t>
        </is>
      </c>
      <c r="C391" s="58" t="inlineStr">
        <is>
          <t>mm</t>
        </is>
      </c>
      <c r="D391" s="59" t="inlineStr">
        <is>
          <t>#2 wood screw major thread diameter (ASME B18.6.1). Formula: 0.060 + (2×0.013) = 0.086". Cabinet hardware, thin stock. TPI=32.</t>
        </is>
      </c>
      <c r="E391" s="60" t="inlineStr">
        <is>
          <t>2.18 mm</t>
        </is>
      </c>
    </row>
    <row r="392" ht="36" customHeight="1">
      <c r="A392" s="56" t="inlineStr">
        <is>
          <t>woodscrew_gauge_02_pilot_hole_softwood_mm</t>
        </is>
      </c>
      <c r="B392" s="57" t="inlineStr">
        <is>
          <t>1.5</t>
        </is>
      </c>
      <c r="C392" s="58" t="inlineStr">
        <is>
          <t>mm</t>
        </is>
      </c>
      <c r="D392" s="59" t="inlineStr">
        <is>
          <t>#2 pilot hole in softwood (pine, fir, cedar, spruce) — ~75% of major dia. Cabinet hardware, thin stock.</t>
        </is>
      </c>
      <c r="E392" s="60" t="inlineStr">
        <is>
          <t>1.5 mm</t>
        </is>
      </c>
    </row>
    <row r="393" ht="36" customHeight="1">
      <c r="A393" s="56" t="inlineStr">
        <is>
          <t>woodscrew_gauge_02_pilot_hole_hardwood_mm</t>
        </is>
      </c>
      <c r="B393" s="57" t="inlineStr">
        <is>
          <t>1.8</t>
        </is>
      </c>
      <c r="C393" s="58" t="inlineStr">
        <is>
          <t>mm</t>
        </is>
      </c>
      <c r="D393" s="59" t="inlineStr">
        <is>
          <t>#2 pilot hole in hardwood (oak, maple, walnut, cherry) — ~85% of major dia. Always drill hardwood regardless of gauge. Cabinet hardware, thin stock.</t>
        </is>
      </c>
      <c r="E393" s="60" t="inlineStr">
        <is>
          <t>1.8 mm</t>
        </is>
      </c>
    </row>
    <row r="394" ht="36" customHeight="1">
      <c r="A394" s="56" t="inlineStr">
        <is>
          <t>woodscrew_gauge_02_clearance_hole_top_board_mm</t>
        </is>
      </c>
      <c r="B394" s="57" t="inlineStr">
        <is>
          <t>2.4</t>
        </is>
      </c>
      <c r="C394" s="58" t="inlineStr">
        <is>
          <t>mm</t>
        </is>
      </c>
      <c r="D394" s="59" t="inlineStr">
        <is>
          <t>#2 clearance through-hole in top board — allows shank to pass freely so screw pulls pieces together. Major dia + 0.2-0.4 mm.</t>
        </is>
      </c>
      <c r="E394" s="60" t="inlineStr">
        <is>
          <t>2.4 mm</t>
        </is>
      </c>
    </row>
    <row r="395" ht="36" customHeight="1">
      <c r="A395" s="56" t="inlineStr">
        <is>
          <t>woodscrew_gauge_02_countersink_flat_head_diameter_mm</t>
        </is>
      </c>
      <c r="B395" s="57" t="inlineStr">
        <is>
          <t>6.4</t>
        </is>
      </c>
      <c r="C395" s="58" t="inlineStr">
        <is>
          <t>mm</t>
        </is>
      </c>
      <c r="D395" s="59" t="inlineStr">
        <is>
          <t>#2 flat-head countersink top diameter. US/imperial angle = 82° (NOT 90° — that is metric ISO standard).</t>
        </is>
      </c>
      <c r="E395" s="60" t="inlineStr">
        <is>
          <t>6.4 mm</t>
        </is>
      </c>
    </row>
    <row r="396" ht="36" customHeight="1">
      <c r="A396" s="56" t="inlineStr">
        <is>
          <t>woodscrew_gauge_03_major_diameter_mm</t>
        </is>
      </c>
      <c r="B396" s="57" t="inlineStr">
        <is>
          <t>2.51</t>
        </is>
      </c>
      <c r="C396" s="58" t="inlineStr">
        <is>
          <t>mm</t>
        </is>
      </c>
      <c r="D396" s="59" t="inlineStr">
        <is>
          <t>#3 wood screw major thread diameter (ASME B18.6.1). Formula: 0.060 + (3×0.013) = 0.099". Light joinery. TPI=28.</t>
        </is>
      </c>
      <c r="E396" s="60" t="inlineStr">
        <is>
          <t>2.51 mm</t>
        </is>
      </c>
    </row>
    <row r="397" ht="36" customHeight="1">
      <c r="A397" s="56" t="inlineStr">
        <is>
          <t>woodscrew_gauge_03_pilot_hole_softwood_mm</t>
        </is>
      </c>
      <c r="B397" s="57" t="inlineStr">
        <is>
          <t>1.6</t>
        </is>
      </c>
      <c r="C397" s="58" t="inlineStr">
        <is>
          <t>mm</t>
        </is>
      </c>
      <c r="D397" s="59" t="inlineStr">
        <is>
          <t>#3 pilot hole in softwood (pine, fir, cedar, spruce) — ~75% of major dia. Light joinery.</t>
        </is>
      </c>
      <c r="E397" s="60" t="inlineStr">
        <is>
          <t>1.6 mm</t>
        </is>
      </c>
    </row>
    <row r="398" ht="36" customHeight="1">
      <c r="A398" s="56" t="inlineStr">
        <is>
          <t>woodscrew_gauge_03_pilot_hole_hardwood_mm</t>
        </is>
      </c>
      <c r="B398" s="57" t="inlineStr">
        <is>
          <t>2.0</t>
        </is>
      </c>
      <c r="C398" s="58" t="inlineStr">
        <is>
          <t>mm</t>
        </is>
      </c>
      <c r="D398" s="59" t="inlineStr">
        <is>
          <t>#3 pilot hole in hardwood (oak, maple, walnut, cherry) — ~85% of major dia. Always drill hardwood regardless of gauge. Light joinery.</t>
        </is>
      </c>
      <c r="E398" s="60" t="inlineStr">
        <is>
          <t>2.0 mm</t>
        </is>
      </c>
    </row>
    <row r="399" ht="36" customHeight="1">
      <c r="A399" s="56" t="inlineStr">
        <is>
          <t>woodscrew_gauge_03_clearance_hole_top_board_mm</t>
        </is>
      </c>
      <c r="B399" s="57" t="inlineStr">
        <is>
          <t>2.7</t>
        </is>
      </c>
      <c r="C399" s="58" t="inlineStr">
        <is>
          <t>mm</t>
        </is>
      </c>
      <c r="D399" s="59" t="inlineStr">
        <is>
          <t>#3 clearance through-hole in top board — allows shank to pass freely so screw pulls pieces together. Major dia + 0.2-0.4 mm.</t>
        </is>
      </c>
      <c r="E399" s="60" t="inlineStr">
        <is>
          <t>2.7 mm</t>
        </is>
      </c>
    </row>
    <row r="400" ht="36" customHeight="1">
      <c r="A400" s="56" t="inlineStr">
        <is>
          <t>woodscrew_gauge_03_countersink_flat_head_diameter_mm</t>
        </is>
      </c>
      <c r="B400" s="57" t="inlineStr">
        <is>
          <t>6.4</t>
        </is>
      </c>
      <c r="C400" s="58" t="inlineStr">
        <is>
          <t>mm</t>
        </is>
      </c>
      <c r="D400" s="59" t="inlineStr">
        <is>
          <t>#3 flat-head countersink top diameter. US/imperial angle = 82° (NOT 90° — that is metric ISO standard).</t>
        </is>
      </c>
      <c r="E400" s="60" t="inlineStr">
        <is>
          <t>6.4 mm</t>
        </is>
      </c>
    </row>
    <row r="401" ht="36" customHeight="1">
      <c r="A401" s="56" t="inlineStr">
        <is>
          <t>woodscrew_gauge_04_major_diameter_mm</t>
        </is>
      </c>
      <c r="B401" s="57" t="inlineStr">
        <is>
          <t>2.84</t>
        </is>
      </c>
      <c r="C401" s="58" t="inlineStr">
        <is>
          <t>mm</t>
        </is>
      </c>
      <c r="D401" s="59" t="inlineStr">
        <is>
          <t>#4 wood screw major thread diameter (ASME B18.6.1). Formula: 0.060 + (4×0.013) = 0.112". Small hinges, cabinet doors, thin plywood. TPI=24.</t>
        </is>
      </c>
      <c r="E401" s="60" t="inlineStr">
        <is>
          <t>2.84 mm</t>
        </is>
      </c>
    </row>
    <row r="402" ht="36" customHeight="1">
      <c r="A402" s="56" t="inlineStr">
        <is>
          <t>woodscrew_gauge_04_pilot_hole_softwood_mm</t>
        </is>
      </c>
      <c r="B402" s="57" t="inlineStr">
        <is>
          <t>1.8</t>
        </is>
      </c>
      <c r="C402" s="58" t="inlineStr">
        <is>
          <t>mm</t>
        </is>
      </c>
      <c r="D402" s="59" t="inlineStr">
        <is>
          <t>#4 pilot hole in softwood (pine, fir, cedar, spruce) — ~75% of major dia. Small hinges, cabinet doors, thin plywood.</t>
        </is>
      </c>
      <c r="E402" s="60" t="inlineStr">
        <is>
          <t>1.8 mm</t>
        </is>
      </c>
    </row>
    <row r="403" ht="36" customHeight="1">
      <c r="A403" s="56" t="inlineStr">
        <is>
          <t>woodscrew_gauge_04_pilot_hole_hardwood_mm</t>
        </is>
      </c>
      <c r="B403" s="57" t="inlineStr">
        <is>
          <t>2.2</t>
        </is>
      </c>
      <c r="C403" s="58" t="inlineStr">
        <is>
          <t>mm</t>
        </is>
      </c>
      <c r="D403" s="59" t="inlineStr">
        <is>
          <t>#4 pilot hole in hardwood (oak, maple, walnut, cherry) — ~85% of major dia. Always drill hardwood regardless of gauge. Small hinges, cabinet doors, thin plywood.</t>
        </is>
      </c>
      <c r="E403" s="60" t="inlineStr">
        <is>
          <t>2.2 mm</t>
        </is>
      </c>
    </row>
    <row r="404" ht="36" customHeight="1">
      <c r="A404" s="56" t="inlineStr">
        <is>
          <t>woodscrew_gauge_04_clearance_hole_top_board_mm</t>
        </is>
      </c>
      <c r="B404" s="57" t="inlineStr">
        <is>
          <t>3.0</t>
        </is>
      </c>
      <c r="C404" s="58" t="inlineStr">
        <is>
          <t>mm</t>
        </is>
      </c>
      <c r="D404" s="59" t="inlineStr">
        <is>
          <t>#4 clearance through-hole in top board — allows shank to pass freely so screw pulls pieces together. Major dia + 0.2-0.4 mm.</t>
        </is>
      </c>
      <c r="E404" s="60" t="inlineStr">
        <is>
          <t>3.0 mm</t>
        </is>
      </c>
    </row>
    <row r="405" ht="36" customHeight="1">
      <c r="A405" s="56" t="inlineStr">
        <is>
          <t>woodscrew_gauge_04_countersink_flat_head_diameter_mm</t>
        </is>
      </c>
      <c r="B405" s="57" t="inlineStr">
        <is>
          <t>6.4</t>
        </is>
      </c>
      <c r="C405" s="58" t="inlineStr">
        <is>
          <t>mm</t>
        </is>
      </c>
      <c r="D405" s="59" t="inlineStr">
        <is>
          <t>#4 flat-head countersink top diameter. US/imperial angle = 82° (NOT 90° — that is metric ISO standard).</t>
        </is>
      </c>
      <c r="E405" s="60" t="inlineStr">
        <is>
          <t>6.4 mm</t>
        </is>
      </c>
    </row>
    <row r="406" ht="36" customHeight="1">
      <c r="A406" s="56" t="inlineStr">
        <is>
          <t>woodscrew_gauge_05_major_diameter_mm</t>
        </is>
      </c>
      <c r="B406" s="57" t="inlineStr">
        <is>
          <t>3.17</t>
        </is>
      </c>
      <c r="C406" s="58" t="inlineStr">
        <is>
          <t>mm</t>
        </is>
      </c>
      <c r="D406" s="59" t="inlineStr">
        <is>
          <t>#5 wood screw major thread diameter (ASME B18.6.1). Formula: 0.060 + (5×0.013) = 0.125". Light woodwork. TPI=20.</t>
        </is>
      </c>
      <c r="E406" s="60" t="inlineStr">
        <is>
          <t>3.17 mm</t>
        </is>
      </c>
    </row>
    <row r="407" ht="36" customHeight="1">
      <c r="A407" s="56" t="inlineStr">
        <is>
          <t>woodscrew_gauge_05_pilot_hole_softwood_mm</t>
        </is>
      </c>
      <c r="B407" s="57" t="inlineStr">
        <is>
          <t>2.0</t>
        </is>
      </c>
      <c r="C407" s="58" t="inlineStr">
        <is>
          <t>mm</t>
        </is>
      </c>
      <c r="D407" s="59" t="inlineStr">
        <is>
          <t>#5 pilot hole in softwood (pine, fir, cedar, spruce) — ~75% of major dia. Light woodwork.</t>
        </is>
      </c>
      <c r="E407" s="60" t="inlineStr">
        <is>
          <t>2.0 mm</t>
        </is>
      </c>
    </row>
    <row r="408" ht="36" customHeight="1">
      <c r="A408" s="56" t="inlineStr">
        <is>
          <t>woodscrew_gauge_05_pilot_hole_hardwood_mm</t>
        </is>
      </c>
      <c r="B408" s="57" t="inlineStr">
        <is>
          <t>2.4</t>
        </is>
      </c>
      <c r="C408" s="58" t="inlineStr">
        <is>
          <t>mm</t>
        </is>
      </c>
      <c r="D408" s="59" t="inlineStr">
        <is>
          <t>#5 pilot hole in hardwood (oak, maple, walnut, cherry) — ~85% of major dia. Always drill hardwood regardless of gauge. Light woodwork.</t>
        </is>
      </c>
      <c r="E408" s="60" t="inlineStr">
        <is>
          <t>2.4 mm</t>
        </is>
      </c>
    </row>
    <row r="409" ht="36" customHeight="1">
      <c r="A409" s="56" t="inlineStr">
        <is>
          <t>woodscrew_gauge_05_clearance_hole_top_board_mm</t>
        </is>
      </c>
      <c r="B409" s="57" t="inlineStr">
        <is>
          <t>3.4</t>
        </is>
      </c>
      <c r="C409" s="58" t="inlineStr">
        <is>
          <t>mm</t>
        </is>
      </c>
      <c r="D409" s="59" t="inlineStr">
        <is>
          <t>#5 clearance through-hole in top board — allows shank to pass freely so screw pulls pieces together. Major dia + 0.2-0.4 mm.</t>
        </is>
      </c>
      <c r="E409" s="60" t="inlineStr">
        <is>
          <t>3.4 mm</t>
        </is>
      </c>
    </row>
    <row r="410" ht="36" customHeight="1">
      <c r="A410" s="56" t="inlineStr">
        <is>
          <t>woodscrew_gauge_05_countersink_flat_head_diameter_mm</t>
        </is>
      </c>
      <c r="B410" s="57" t="inlineStr">
        <is>
          <t>7.1</t>
        </is>
      </c>
      <c r="C410" s="58" t="inlineStr">
        <is>
          <t>mm</t>
        </is>
      </c>
      <c r="D410" s="59" t="inlineStr">
        <is>
          <t>#5 flat-head countersink top diameter. US/imperial angle = 82° (NOT 90° — that is metric ISO standard).</t>
        </is>
      </c>
      <c r="E410" s="60" t="inlineStr">
        <is>
          <t>7.1 mm</t>
        </is>
      </c>
    </row>
    <row r="411" ht="36" customHeight="1">
      <c r="A411" s="56" t="inlineStr">
        <is>
          <t>woodscrew_gauge_06_major_diameter_mm</t>
        </is>
      </c>
      <c r="B411" s="57" t="inlineStr">
        <is>
          <t>3.51</t>
        </is>
      </c>
      <c r="C411" s="58" t="inlineStr">
        <is>
          <t>mm</t>
        </is>
      </c>
      <c r="D411" s="59" t="inlineStr">
        <is>
          <t>#6 wood screw major thread diameter (ASME B18.6.1). Formula: 0.060 + (6×0.013) = 0.138". Face frames, drawer boxes, cabinetry - common. TPI=18.</t>
        </is>
      </c>
      <c r="E411" s="60" t="inlineStr">
        <is>
          <t>3.51 mm</t>
        </is>
      </c>
    </row>
    <row r="412" ht="36" customHeight="1">
      <c r="A412" s="56" t="inlineStr">
        <is>
          <t>woodscrew_gauge_06_pilot_hole_softwood_mm</t>
        </is>
      </c>
      <c r="B412" s="57" t="inlineStr">
        <is>
          <t>2.2</t>
        </is>
      </c>
      <c r="C412" s="58" t="inlineStr">
        <is>
          <t>mm</t>
        </is>
      </c>
      <c r="D412" s="59" t="inlineStr">
        <is>
          <t>#6 pilot hole in softwood (pine, fir, cedar, spruce) — ~75% of major dia. Face frames, drawer boxes, cabinetry - common.</t>
        </is>
      </c>
      <c r="E412" s="60" t="inlineStr">
        <is>
          <t>2.2 mm</t>
        </is>
      </c>
    </row>
    <row r="413" ht="36" customHeight="1">
      <c r="A413" s="56" t="inlineStr">
        <is>
          <t>woodscrew_gauge_06_pilot_hole_hardwood_mm</t>
        </is>
      </c>
      <c r="B413" s="57" t="inlineStr">
        <is>
          <t>2.8</t>
        </is>
      </c>
      <c r="C413" s="58" t="inlineStr">
        <is>
          <t>mm</t>
        </is>
      </c>
      <c r="D413" s="59" t="inlineStr">
        <is>
          <t>#6 pilot hole in hardwood (oak, maple, walnut, cherry) — ~85% of major dia. Always drill hardwood regardless of gauge. Face frames, drawer boxes, cabinetry - common.</t>
        </is>
      </c>
      <c r="E413" s="60" t="inlineStr">
        <is>
          <t>2.8 mm</t>
        </is>
      </c>
    </row>
    <row r="414" ht="36" customHeight="1">
      <c r="A414" s="56" t="inlineStr">
        <is>
          <t>woodscrew_gauge_06_clearance_hole_top_board_mm</t>
        </is>
      </c>
      <c r="B414" s="57" t="inlineStr">
        <is>
          <t>3.6</t>
        </is>
      </c>
      <c r="C414" s="58" t="inlineStr">
        <is>
          <t>mm</t>
        </is>
      </c>
      <c r="D414" s="59" t="inlineStr">
        <is>
          <t>#6 clearance through-hole in top board — allows shank to pass freely so screw pulls pieces together. Major dia + 0.2-0.4 mm.</t>
        </is>
      </c>
      <c r="E414" s="60" t="inlineStr">
        <is>
          <t>3.6 mm</t>
        </is>
      </c>
    </row>
    <row r="415" ht="36" customHeight="1">
      <c r="A415" s="56" t="inlineStr">
        <is>
          <t>woodscrew_gauge_06_countersink_flat_head_diameter_mm</t>
        </is>
      </c>
      <c r="B415" s="57" t="inlineStr">
        <is>
          <t>7.1</t>
        </is>
      </c>
      <c r="C415" s="58" t="inlineStr">
        <is>
          <t>mm</t>
        </is>
      </c>
      <c r="D415" s="59" t="inlineStr">
        <is>
          <t>#6 flat-head countersink top diameter. US/imperial angle = 82° (NOT 90° — that is metric ISO standard).</t>
        </is>
      </c>
      <c r="E415" s="60" t="inlineStr">
        <is>
          <t>7.1 mm</t>
        </is>
      </c>
    </row>
    <row r="416" ht="36" customHeight="1">
      <c r="A416" s="56" t="inlineStr">
        <is>
          <t>woodscrew_gauge_07_major_diameter_mm</t>
        </is>
      </c>
      <c r="B416" s="57" t="inlineStr">
        <is>
          <t>3.84</t>
        </is>
      </c>
      <c r="C416" s="58" t="inlineStr">
        <is>
          <t>mm</t>
        </is>
      </c>
      <c r="D416" s="59" t="inlineStr">
        <is>
          <t>#7 wood screw major thread diameter (ASME B18.6.1). Formula: 0.060 + (7×0.013) = 0.151". Medium joinery. TPI=16.</t>
        </is>
      </c>
      <c r="E416" s="60" t="inlineStr">
        <is>
          <t>3.84 mm</t>
        </is>
      </c>
    </row>
    <row r="417" ht="36" customHeight="1">
      <c r="A417" s="56" t="inlineStr">
        <is>
          <t>woodscrew_gauge_07_pilot_hole_softwood_mm</t>
        </is>
      </c>
      <c r="B417" s="57" t="inlineStr">
        <is>
          <t>2.4</t>
        </is>
      </c>
      <c r="C417" s="58" t="inlineStr">
        <is>
          <t>mm</t>
        </is>
      </c>
      <c r="D417" s="59" t="inlineStr">
        <is>
          <t>#7 pilot hole in softwood (pine, fir, cedar, spruce) — ~75% of major dia. Medium joinery.</t>
        </is>
      </c>
      <c r="E417" s="60" t="inlineStr">
        <is>
          <t>2.4 mm</t>
        </is>
      </c>
    </row>
    <row r="418" ht="36" customHeight="1">
      <c r="A418" s="56" t="inlineStr">
        <is>
          <t>woodscrew_gauge_07_pilot_hole_hardwood_mm</t>
        </is>
      </c>
      <c r="B418" s="57" t="inlineStr">
        <is>
          <t>3.0</t>
        </is>
      </c>
      <c r="C418" s="58" t="inlineStr">
        <is>
          <t>mm</t>
        </is>
      </c>
      <c r="D418" s="59" t="inlineStr">
        <is>
          <t>#7 pilot hole in hardwood (oak, maple, walnut, cherry) — ~85% of major dia. Always drill hardwood regardless of gauge. Medium joinery.</t>
        </is>
      </c>
      <c r="E418" s="60" t="inlineStr">
        <is>
          <t>3.0 mm</t>
        </is>
      </c>
    </row>
    <row r="419" ht="36" customHeight="1">
      <c r="A419" s="56" t="inlineStr">
        <is>
          <t>woodscrew_gauge_07_clearance_hole_top_board_mm</t>
        </is>
      </c>
      <c r="B419" s="57" t="inlineStr">
        <is>
          <t>4.0</t>
        </is>
      </c>
      <c r="C419" s="58" t="inlineStr">
        <is>
          <t>mm</t>
        </is>
      </c>
      <c r="D419" s="59" t="inlineStr">
        <is>
          <t>#7 clearance through-hole in top board — allows shank to pass freely so screw pulls pieces together. Major dia + 0.2-0.4 mm.</t>
        </is>
      </c>
      <c r="E419" s="60" t="inlineStr">
        <is>
          <t>4.0 mm</t>
        </is>
      </c>
    </row>
    <row r="420" ht="36" customHeight="1">
      <c r="A420" s="56" t="inlineStr">
        <is>
          <t>woodscrew_gauge_07_countersink_flat_head_diameter_mm</t>
        </is>
      </c>
      <c r="B420" s="57" t="inlineStr">
        <is>
          <t>8.7</t>
        </is>
      </c>
      <c r="C420" s="58" t="inlineStr">
        <is>
          <t>mm</t>
        </is>
      </c>
      <c r="D420" s="59" t="inlineStr">
        <is>
          <t>#7 flat-head countersink top diameter. US/imperial angle = 82° (NOT 90° — that is metric ISO standard).</t>
        </is>
      </c>
      <c r="E420" s="60" t="inlineStr">
        <is>
          <t>8.7 mm</t>
        </is>
      </c>
    </row>
    <row r="421" ht="36" customHeight="1">
      <c r="A421" s="56" t="inlineStr">
        <is>
          <t>woodscrew_gauge_08_major_diameter_mm</t>
        </is>
      </c>
      <c r="B421" s="57" t="inlineStr">
        <is>
          <t>4.17</t>
        </is>
      </c>
      <c r="C421" s="58" t="inlineStr">
        <is>
          <t>mm</t>
        </is>
      </c>
      <c r="D421" s="59" t="inlineStr">
        <is>
          <t>#8 wood screw major thread diameter (ASME B18.6.1). Formula: 0.060 + (8×0.013) = 0.164". MOST COMMON - furniture, general woodwork, shelving. TPI=15.</t>
        </is>
      </c>
      <c r="E421" s="60" t="inlineStr">
        <is>
          <t>4.17 mm</t>
        </is>
      </c>
    </row>
    <row r="422" ht="36" customHeight="1">
      <c r="A422" s="56" t="inlineStr">
        <is>
          <t>woodscrew_gauge_08_pilot_hole_softwood_mm</t>
        </is>
      </c>
      <c r="B422" s="57" t="inlineStr">
        <is>
          <t>2.8</t>
        </is>
      </c>
      <c r="C422" s="58" t="inlineStr">
        <is>
          <t>mm</t>
        </is>
      </c>
      <c r="D422" s="59" t="inlineStr">
        <is>
          <t>#8 pilot hole in softwood (pine, fir, cedar, spruce) — ~75% of major dia. MOST COMMON - furniture, general woodwork, shelving.</t>
        </is>
      </c>
      <c r="E422" s="60" t="inlineStr">
        <is>
          <t>2.8 mm</t>
        </is>
      </c>
    </row>
    <row r="423" ht="36" customHeight="1">
      <c r="A423" s="56" t="inlineStr">
        <is>
          <t>woodscrew_gauge_08_pilot_hole_hardwood_mm</t>
        </is>
      </c>
      <c r="B423" s="57" t="inlineStr">
        <is>
          <t>3.2</t>
        </is>
      </c>
      <c r="C423" s="58" t="inlineStr">
        <is>
          <t>mm</t>
        </is>
      </c>
      <c r="D423" s="59" t="inlineStr">
        <is>
          <t>#8 pilot hole in hardwood (oak, maple, walnut, cherry) — ~85% of major dia. Always drill hardwood regardless of gauge. MOST COMMON - furniture, general woodwork, shelving.</t>
        </is>
      </c>
      <c r="E423" s="60" t="inlineStr">
        <is>
          <t>3.2 mm</t>
        </is>
      </c>
    </row>
    <row r="424" ht="36" customHeight="1">
      <c r="A424" s="56" t="inlineStr">
        <is>
          <t>woodscrew_gauge_08_clearance_hole_top_board_mm</t>
        </is>
      </c>
      <c r="B424" s="57" t="inlineStr">
        <is>
          <t>4.4</t>
        </is>
      </c>
      <c r="C424" s="58" t="inlineStr">
        <is>
          <t>mm</t>
        </is>
      </c>
      <c r="D424" s="59" t="inlineStr">
        <is>
          <t>#8 clearance through-hole in top board — allows shank to pass freely so screw pulls pieces together. Major dia + 0.2-0.4 mm.</t>
        </is>
      </c>
      <c r="E424" s="60" t="inlineStr">
        <is>
          <t>4.4 mm</t>
        </is>
      </c>
    </row>
    <row r="425" ht="36" customHeight="1">
      <c r="A425" s="56" t="inlineStr">
        <is>
          <t>woodscrew_gauge_08_countersink_flat_head_diameter_mm</t>
        </is>
      </c>
      <c r="B425" s="57" t="inlineStr">
        <is>
          <t>8.7</t>
        </is>
      </c>
      <c r="C425" s="58" t="inlineStr">
        <is>
          <t>mm</t>
        </is>
      </c>
      <c r="D425" s="59" t="inlineStr">
        <is>
          <t>#8 flat-head countersink top diameter. US/imperial angle = 82° (NOT 90° — that is metric ISO standard).</t>
        </is>
      </c>
      <c r="E425" s="60" t="inlineStr">
        <is>
          <t>8.7 mm</t>
        </is>
      </c>
    </row>
    <row r="426" ht="36" customHeight="1">
      <c r="A426" s="56" t="inlineStr">
        <is>
          <t>woodscrew_gauge_09_major_diameter_mm</t>
        </is>
      </c>
      <c r="B426" s="57" t="inlineStr">
        <is>
          <t>4.5</t>
        </is>
      </c>
      <c r="C426" s="58" t="inlineStr">
        <is>
          <t>mm</t>
        </is>
      </c>
      <c r="D426" s="59" t="inlineStr">
        <is>
          <t>#9 wood screw major thread diameter (ASME B18.6.1). Formula: 0.060 + (9×0.013) = 0.177". Heavy furniture. TPI=14.</t>
        </is>
      </c>
      <c r="E426" s="60" t="inlineStr">
        <is>
          <t>4.5 mm</t>
        </is>
      </c>
    </row>
    <row r="427" ht="36" customHeight="1">
      <c r="A427" s="56" t="inlineStr">
        <is>
          <t>woodscrew_gauge_09_pilot_hole_softwood_mm</t>
        </is>
      </c>
      <c r="B427" s="57" t="inlineStr">
        <is>
          <t>3.0</t>
        </is>
      </c>
      <c r="C427" s="58" t="inlineStr">
        <is>
          <t>mm</t>
        </is>
      </c>
      <c r="D427" s="59" t="inlineStr">
        <is>
          <t>#9 pilot hole in softwood (pine, fir, cedar, spruce) — ~75% of major dia. Heavy furniture.</t>
        </is>
      </c>
      <c r="E427" s="60" t="inlineStr">
        <is>
          <t>3.0 mm</t>
        </is>
      </c>
    </row>
    <row r="428" ht="36" customHeight="1">
      <c r="A428" s="56" t="inlineStr">
        <is>
          <t>woodscrew_gauge_09_pilot_hole_hardwood_mm</t>
        </is>
      </c>
      <c r="B428" s="57" t="inlineStr">
        <is>
          <t>3.4</t>
        </is>
      </c>
      <c r="C428" s="58" t="inlineStr">
        <is>
          <t>mm</t>
        </is>
      </c>
      <c r="D428" s="59" t="inlineStr">
        <is>
          <t>#9 pilot hole in hardwood (oak, maple, walnut, cherry) — ~85% of major dia. Always drill hardwood regardless of gauge. Heavy furniture.</t>
        </is>
      </c>
      <c r="E428" s="60" t="inlineStr">
        <is>
          <t>3.4 mm</t>
        </is>
      </c>
    </row>
    <row r="429" ht="36" customHeight="1">
      <c r="A429" s="56" t="inlineStr">
        <is>
          <t>woodscrew_gauge_09_clearance_hole_top_board_mm</t>
        </is>
      </c>
      <c r="B429" s="57" t="inlineStr">
        <is>
          <t>4.8</t>
        </is>
      </c>
      <c r="C429" s="58" t="inlineStr">
        <is>
          <t>mm</t>
        </is>
      </c>
      <c r="D429" s="59" t="inlineStr">
        <is>
          <t>#9 clearance through-hole in top board — allows shank to pass freely so screw pulls pieces together. Major dia + 0.2-0.4 mm.</t>
        </is>
      </c>
      <c r="E429" s="60" t="inlineStr">
        <is>
          <t>4.8 mm</t>
        </is>
      </c>
    </row>
    <row r="430" ht="36" customHeight="1">
      <c r="A430" s="56" t="inlineStr">
        <is>
          <t>woodscrew_gauge_09_countersink_flat_head_diameter_mm</t>
        </is>
      </c>
      <c r="B430" s="57" t="inlineStr">
        <is>
          <t>9.5</t>
        </is>
      </c>
      <c r="C430" s="58" t="inlineStr">
        <is>
          <t>mm</t>
        </is>
      </c>
      <c r="D430" s="59" t="inlineStr">
        <is>
          <t>#9 flat-head countersink top diameter. US/imperial angle = 82° (NOT 90° — that is metric ISO standard).</t>
        </is>
      </c>
      <c r="E430" s="60" t="inlineStr">
        <is>
          <t>9.5 mm</t>
        </is>
      </c>
    </row>
    <row r="431" ht="36" customHeight="1">
      <c r="A431" s="56" t="inlineStr">
        <is>
          <t>woodscrew_gauge_10_major_diameter_mm</t>
        </is>
      </c>
      <c r="B431" s="57" t="inlineStr">
        <is>
          <t>4.83</t>
        </is>
      </c>
      <c r="C431" s="58" t="inlineStr">
        <is>
          <t>mm</t>
        </is>
      </c>
      <c r="D431" s="59" t="inlineStr">
        <is>
          <t>#10 wood screw major thread diameter (ASME B18.6.1). Formula: 0.060 + (10×0.013) = 0.19". Structural, decking, outdoor joinery - very common. TPI=13.</t>
        </is>
      </c>
      <c r="E431" s="60" t="inlineStr">
        <is>
          <t>4.83 mm</t>
        </is>
      </c>
    </row>
    <row r="432" ht="36" customHeight="1">
      <c r="A432" s="56" t="inlineStr">
        <is>
          <t>woodscrew_gauge_10_pilot_hole_softwood_mm</t>
        </is>
      </c>
      <c r="B432" s="57" t="inlineStr">
        <is>
          <t>3.2</t>
        </is>
      </c>
      <c r="C432" s="58" t="inlineStr">
        <is>
          <t>mm</t>
        </is>
      </c>
      <c r="D432" s="59" t="inlineStr">
        <is>
          <t>#10 pilot hole in softwood (pine, fir, cedar, spruce) — ~75% of major dia. Structural, decking, outdoor joinery - very common.</t>
        </is>
      </c>
      <c r="E432" s="60" t="inlineStr">
        <is>
          <t>3.2 mm</t>
        </is>
      </c>
    </row>
    <row r="433" ht="36" customHeight="1">
      <c r="A433" s="56" t="inlineStr">
        <is>
          <t>woodscrew_gauge_10_pilot_hole_hardwood_mm</t>
        </is>
      </c>
      <c r="B433" s="57" t="inlineStr">
        <is>
          <t>3.6</t>
        </is>
      </c>
      <c r="C433" s="58" t="inlineStr">
        <is>
          <t>mm</t>
        </is>
      </c>
      <c r="D433" s="59" t="inlineStr">
        <is>
          <t>#10 pilot hole in hardwood (oak, maple, walnut, cherry) — ~85% of major dia. Always drill hardwood regardless of gauge. Structural, decking, outdoor joinery - very common.</t>
        </is>
      </c>
      <c r="E433" s="60" t="inlineStr">
        <is>
          <t>3.6 mm</t>
        </is>
      </c>
    </row>
    <row r="434" ht="36" customHeight="1">
      <c r="A434" s="56" t="inlineStr">
        <is>
          <t>woodscrew_gauge_10_clearance_hole_top_board_mm</t>
        </is>
      </c>
      <c r="B434" s="57" t="inlineStr">
        <is>
          <t>5.2</t>
        </is>
      </c>
      <c r="C434" s="58" t="inlineStr">
        <is>
          <t>mm</t>
        </is>
      </c>
      <c r="D434" s="59" t="inlineStr">
        <is>
          <t>#10 clearance through-hole in top board — allows shank to pass freely so screw pulls pieces together. Major dia + 0.2-0.4 mm.</t>
        </is>
      </c>
      <c r="E434" s="60" t="inlineStr">
        <is>
          <t>5.2 mm</t>
        </is>
      </c>
    </row>
    <row r="435" ht="36" customHeight="1">
      <c r="A435" s="56" t="inlineStr">
        <is>
          <t>woodscrew_gauge_10_countersink_flat_head_diameter_mm</t>
        </is>
      </c>
      <c r="B435" s="57" t="inlineStr">
        <is>
          <t>11.1</t>
        </is>
      </c>
      <c r="C435" s="58" t="inlineStr">
        <is>
          <t>mm</t>
        </is>
      </c>
      <c r="D435" s="59" t="inlineStr">
        <is>
          <t>#10 flat-head countersink top diameter. US/imperial angle = 82° (NOT 90° — that is metric ISO standard).</t>
        </is>
      </c>
      <c r="E435" s="60" t="inlineStr">
        <is>
          <t>11.1 mm</t>
        </is>
      </c>
    </row>
    <row r="436" ht="36" customHeight="1">
      <c r="A436" s="56" t="inlineStr">
        <is>
          <t>woodscrew_gauge_11_major_diameter_mm</t>
        </is>
      </c>
      <c r="B436" s="57" t="inlineStr">
        <is>
          <t>5.16</t>
        </is>
      </c>
      <c r="C436" s="58" t="inlineStr">
        <is>
          <t>mm</t>
        </is>
      </c>
      <c r="D436" s="59" t="inlineStr">
        <is>
          <t>#11 wood screw major thread diameter (ASME B18.6.1). Formula: 0.060 + (11×0.013) = 0.203". Heavy structural. TPI=12.</t>
        </is>
      </c>
      <c r="E436" s="60" t="inlineStr">
        <is>
          <t>5.16 mm</t>
        </is>
      </c>
    </row>
    <row r="437" ht="36" customHeight="1">
      <c r="A437" s="56" t="inlineStr">
        <is>
          <t>woodscrew_gauge_11_pilot_hole_softwood_mm</t>
        </is>
      </c>
      <c r="B437" s="57" t="inlineStr">
        <is>
          <t>3.4</t>
        </is>
      </c>
      <c r="C437" s="58" t="inlineStr">
        <is>
          <t>mm</t>
        </is>
      </c>
      <c r="D437" s="59" t="inlineStr">
        <is>
          <t>#11 pilot hole in softwood (pine, fir, cedar, spruce) — ~75% of major dia. Heavy structural.</t>
        </is>
      </c>
      <c r="E437" s="60" t="inlineStr">
        <is>
          <t>3.4 mm</t>
        </is>
      </c>
    </row>
    <row r="438" ht="36" customHeight="1">
      <c r="A438" s="56" t="inlineStr">
        <is>
          <t>woodscrew_gauge_11_pilot_hole_hardwood_mm</t>
        </is>
      </c>
      <c r="B438" s="57" t="inlineStr">
        <is>
          <t>4.0</t>
        </is>
      </c>
      <c r="C438" s="58" t="inlineStr">
        <is>
          <t>mm</t>
        </is>
      </c>
      <c r="D438" s="59" t="inlineStr">
        <is>
          <t>#11 pilot hole in hardwood (oak, maple, walnut, cherry) — ~85% of major dia. Always drill hardwood regardless of gauge. Heavy structural.</t>
        </is>
      </c>
      <c r="E438" s="60" t="inlineStr">
        <is>
          <t>4.0 mm</t>
        </is>
      </c>
    </row>
    <row r="439" ht="36" customHeight="1">
      <c r="A439" s="56" t="inlineStr">
        <is>
          <t>woodscrew_gauge_11_clearance_hole_top_board_mm</t>
        </is>
      </c>
      <c r="B439" s="57" t="inlineStr">
        <is>
          <t>5.5</t>
        </is>
      </c>
      <c r="C439" s="58" t="inlineStr">
        <is>
          <t>mm</t>
        </is>
      </c>
      <c r="D439" s="59" t="inlineStr">
        <is>
          <t>#11 clearance through-hole in top board — allows shank to pass freely so screw pulls pieces together. Major dia + 0.2-0.4 mm.</t>
        </is>
      </c>
      <c r="E439" s="60" t="inlineStr">
        <is>
          <t>5.5 mm</t>
        </is>
      </c>
    </row>
    <row r="440" ht="36" customHeight="1">
      <c r="A440" s="56" t="inlineStr">
        <is>
          <t>woodscrew_gauge_11_countersink_flat_head_diameter_mm</t>
        </is>
      </c>
      <c r="B440" s="57" t="inlineStr">
        <is>
          <t>11.1</t>
        </is>
      </c>
      <c r="C440" s="58" t="inlineStr">
        <is>
          <t>mm</t>
        </is>
      </c>
      <c r="D440" s="59" t="inlineStr">
        <is>
          <t>#11 flat-head countersink top diameter. US/imperial angle = 82° (NOT 90° — that is metric ISO standard).</t>
        </is>
      </c>
      <c r="E440" s="60" t="inlineStr">
        <is>
          <t>11.1 mm</t>
        </is>
      </c>
    </row>
    <row r="441" ht="36" customHeight="1">
      <c r="A441" s="56" t="inlineStr">
        <is>
          <t>woodscrew_gauge_12_major_diameter_mm</t>
        </is>
      </c>
      <c r="B441" s="57" t="inlineStr">
        <is>
          <t>5.49</t>
        </is>
      </c>
      <c r="C441" s="58" t="inlineStr">
        <is>
          <t>mm</t>
        </is>
      </c>
      <c r="D441" s="59" t="inlineStr">
        <is>
          <t>#12 wood screw major thread diameter (ASME B18.6.1). Formula: 0.060 + (12×0.013) = 0.216". Heavy construction, door hanging. TPI=11.</t>
        </is>
      </c>
      <c r="E441" s="60" t="inlineStr">
        <is>
          <t>5.49 mm</t>
        </is>
      </c>
    </row>
    <row r="442" ht="36" customHeight="1">
      <c r="A442" s="56" t="inlineStr">
        <is>
          <t>woodscrew_gauge_12_pilot_hole_softwood_mm</t>
        </is>
      </c>
      <c r="B442" s="57" t="inlineStr">
        <is>
          <t>3.6</t>
        </is>
      </c>
      <c r="C442" s="58" t="inlineStr">
        <is>
          <t>mm</t>
        </is>
      </c>
      <c r="D442" s="59" t="inlineStr">
        <is>
          <t>#12 pilot hole in softwood (pine, fir, cedar, spruce) — ~75% of major dia. Heavy construction, door hanging.</t>
        </is>
      </c>
      <c r="E442" s="60" t="inlineStr">
        <is>
          <t>3.6 mm</t>
        </is>
      </c>
    </row>
    <row r="443" ht="36" customHeight="1">
      <c r="A443" s="56" t="inlineStr">
        <is>
          <t>woodscrew_gauge_12_pilot_hole_hardwood_mm</t>
        </is>
      </c>
      <c r="B443" s="57" t="inlineStr">
        <is>
          <t>4.4</t>
        </is>
      </c>
      <c r="C443" s="58" t="inlineStr">
        <is>
          <t>mm</t>
        </is>
      </c>
      <c r="D443" s="59" t="inlineStr">
        <is>
          <t>#12 pilot hole in hardwood (oak, maple, walnut, cherry) — ~85% of major dia. Always drill hardwood regardless of gauge. Heavy construction, door hanging.</t>
        </is>
      </c>
      <c r="E443" s="60" t="inlineStr">
        <is>
          <t>4.4 mm</t>
        </is>
      </c>
    </row>
    <row r="444" ht="36" customHeight="1">
      <c r="A444" s="56" t="inlineStr">
        <is>
          <t>woodscrew_gauge_12_clearance_hole_top_board_mm</t>
        </is>
      </c>
      <c r="B444" s="57" t="inlineStr">
        <is>
          <t>5.8</t>
        </is>
      </c>
      <c r="C444" s="58" t="inlineStr">
        <is>
          <t>mm</t>
        </is>
      </c>
      <c r="D444" s="59" t="inlineStr">
        <is>
          <t>#12 clearance through-hole in top board — allows shank to pass freely so screw pulls pieces together. Major dia + 0.2-0.4 mm.</t>
        </is>
      </c>
      <c r="E444" s="60" t="inlineStr">
        <is>
          <t>5.8 mm</t>
        </is>
      </c>
    </row>
    <row r="445" ht="36" customHeight="1">
      <c r="A445" s="56" t="inlineStr">
        <is>
          <t>woodscrew_gauge_12_countersink_flat_head_diameter_mm</t>
        </is>
      </c>
      <c r="B445" s="57" t="inlineStr">
        <is>
          <t>12.7</t>
        </is>
      </c>
      <c r="C445" s="58" t="inlineStr">
        <is>
          <t>mm</t>
        </is>
      </c>
      <c r="D445" s="59" t="inlineStr">
        <is>
          <t>#12 flat-head countersink top diameter. US/imperial angle = 82° (NOT 90° — that is metric ISO standard).</t>
        </is>
      </c>
      <c r="E445" s="60" t="inlineStr">
        <is>
          <t>12.7 mm</t>
        </is>
      </c>
    </row>
    <row r="446" ht="36" customHeight="1">
      <c r="A446" s="56" t="inlineStr">
        <is>
          <t>woodscrew_gauge_14_major_diameter_mm</t>
        </is>
      </c>
      <c r="B446" s="57" t="inlineStr">
        <is>
          <t>6.15</t>
        </is>
      </c>
      <c r="C446" s="58" t="inlineStr">
        <is>
          <t>mm</t>
        </is>
      </c>
      <c r="D446" s="59" t="inlineStr">
        <is>
          <t>#14 wood screw major thread diameter (ASME B18.6.1). Formula: 0.060 + (14×0.013) = 0.242". Heavy framing, solid-core doors. TPI=10.</t>
        </is>
      </c>
      <c r="E446" s="60" t="inlineStr">
        <is>
          <t>6.15 mm</t>
        </is>
      </c>
    </row>
    <row r="447" ht="36" customHeight="1">
      <c r="A447" s="56" t="inlineStr">
        <is>
          <t>woodscrew_gauge_14_pilot_hole_softwood_mm</t>
        </is>
      </c>
      <c r="B447" s="57" t="inlineStr">
        <is>
          <t>4.4</t>
        </is>
      </c>
      <c r="C447" s="58" t="inlineStr">
        <is>
          <t>mm</t>
        </is>
      </c>
      <c r="D447" s="59" t="inlineStr">
        <is>
          <t>#14 pilot hole in softwood (pine, fir, cedar, spruce) — ~75% of major dia. Heavy framing, solid-core doors.</t>
        </is>
      </c>
      <c r="E447" s="60" t="inlineStr">
        <is>
          <t>4.4 mm</t>
        </is>
      </c>
    </row>
    <row r="448" ht="36" customHeight="1">
      <c r="A448" s="56" t="inlineStr">
        <is>
          <t>woodscrew_gauge_14_pilot_hole_hardwood_mm</t>
        </is>
      </c>
      <c r="B448" s="57" t="inlineStr">
        <is>
          <t>5.0</t>
        </is>
      </c>
      <c r="C448" s="58" t="inlineStr">
        <is>
          <t>mm</t>
        </is>
      </c>
      <c r="D448" s="59" t="inlineStr">
        <is>
          <t>#14 pilot hole in hardwood (oak, maple, walnut, cherry) — ~85% of major dia. Always drill hardwood regardless of gauge. Heavy framing, solid-core doors.</t>
        </is>
      </c>
      <c r="E448" s="60" t="inlineStr">
        <is>
          <t>5.0 mm</t>
        </is>
      </c>
    </row>
    <row r="449" ht="36" customHeight="1">
      <c r="A449" s="56" t="inlineStr">
        <is>
          <t>woodscrew_gauge_14_clearance_hole_top_board_mm</t>
        </is>
      </c>
      <c r="B449" s="57" t="inlineStr">
        <is>
          <t>6.6</t>
        </is>
      </c>
      <c r="C449" s="58" t="inlineStr">
        <is>
          <t>mm</t>
        </is>
      </c>
      <c r="D449" s="59" t="inlineStr">
        <is>
          <t>#14 clearance through-hole in top board — allows shank to pass freely so screw pulls pieces together. Major dia + 0.2-0.4 mm.</t>
        </is>
      </c>
      <c r="E449" s="60" t="inlineStr">
        <is>
          <t>6.6 mm</t>
        </is>
      </c>
    </row>
    <row r="450" ht="36" customHeight="1">
      <c r="A450" s="56" t="inlineStr">
        <is>
          <t>woodscrew_gauge_14_countersink_flat_head_diameter_mm</t>
        </is>
      </c>
      <c r="B450" s="57" t="inlineStr">
        <is>
          <t>14.3</t>
        </is>
      </c>
      <c r="C450" s="58" t="inlineStr">
        <is>
          <t>mm</t>
        </is>
      </c>
      <c r="D450" s="59" t="inlineStr">
        <is>
          <t>#14 flat-head countersink top diameter. US/imperial angle = 82° (NOT 90° — that is metric ISO standard).</t>
        </is>
      </c>
      <c r="E450" s="60" t="inlineStr">
        <is>
          <t>14.3 mm</t>
        </is>
      </c>
    </row>
    <row r="451" ht="36" customHeight="1">
      <c r="A451" s="56" t="inlineStr">
        <is>
          <t>woodscrew_gauge_16_major_diameter_mm</t>
        </is>
      </c>
      <c r="B451" s="57" t="inlineStr">
        <is>
          <t>6.81</t>
        </is>
      </c>
      <c r="C451" s="58" t="inlineStr">
        <is>
          <t>mm</t>
        </is>
      </c>
      <c r="D451" s="59" t="inlineStr">
        <is>
          <t>#16 wood screw major thread diameter (ASME B18.6.1). Formula: 0.060 + (16×0.013) = 0.268". Timber framing. TPI=9.</t>
        </is>
      </c>
      <c r="E451" s="60" t="inlineStr">
        <is>
          <t>6.81 mm</t>
        </is>
      </c>
    </row>
    <row r="452" ht="36" customHeight="1">
      <c r="A452" s="56" t="inlineStr">
        <is>
          <t>woodscrew_gauge_16_pilot_hole_softwood_mm</t>
        </is>
      </c>
      <c r="B452" s="57" t="inlineStr">
        <is>
          <t>5.0</t>
        </is>
      </c>
      <c r="C452" s="58" t="inlineStr">
        <is>
          <t>mm</t>
        </is>
      </c>
      <c r="D452" s="59" t="inlineStr">
        <is>
          <t>#16 pilot hole in softwood (pine, fir, cedar, spruce) — ~75% of major dia. Timber framing.</t>
        </is>
      </c>
      <c r="E452" s="60" t="inlineStr">
        <is>
          <t>5.0 mm</t>
        </is>
      </c>
    </row>
    <row r="453" ht="36" customHeight="1">
      <c r="A453" s="56" t="inlineStr">
        <is>
          <t>woodscrew_gauge_16_pilot_hole_hardwood_mm</t>
        </is>
      </c>
      <c r="B453" s="57" t="inlineStr">
        <is>
          <t>5.6</t>
        </is>
      </c>
      <c r="C453" s="58" t="inlineStr">
        <is>
          <t>mm</t>
        </is>
      </c>
      <c r="D453" s="59" t="inlineStr">
        <is>
          <t>#16 pilot hole in hardwood (oak, maple, walnut, cherry) — ~85% of major dia. Always drill hardwood regardless of gauge. Timber framing.</t>
        </is>
      </c>
      <c r="E453" s="60" t="inlineStr">
        <is>
          <t>5.6 mm</t>
        </is>
      </c>
    </row>
    <row r="454" ht="36" customHeight="1">
      <c r="A454" s="56" t="inlineStr">
        <is>
          <t>woodscrew_gauge_16_clearance_hole_top_board_mm</t>
        </is>
      </c>
      <c r="B454" s="57" t="inlineStr">
        <is>
          <t>7.2</t>
        </is>
      </c>
      <c r="C454" s="58" t="inlineStr">
        <is>
          <t>mm</t>
        </is>
      </c>
      <c r="D454" s="59" t="inlineStr">
        <is>
          <t>#16 clearance through-hole in top board — allows shank to pass freely so screw pulls pieces together. Major dia + 0.2-0.4 mm.</t>
        </is>
      </c>
      <c r="E454" s="60" t="inlineStr">
        <is>
          <t>7.2 mm</t>
        </is>
      </c>
    </row>
    <row r="455" ht="36" customHeight="1">
      <c r="A455" s="56" t="inlineStr">
        <is>
          <t>woodscrew_gauge_18_major_diameter_mm</t>
        </is>
      </c>
      <c r="B455" s="57" t="inlineStr">
        <is>
          <t>7.47</t>
        </is>
      </c>
      <c r="C455" s="58" t="inlineStr">
        <is>
          <t>mm</t>
        </is>
      </c>
      <c r="D455" s="59" t="inlineStr">
        <is>
          <t>#18 wood screw major thread diameter (ASME B18.6.1). Formula: 0.060 + (18×0.013) = 0.294". Heavy timber. TPI=8.</t>
        </is>
      </c>
      <c r="E455" s="60" t="inlineStr">
        <is>
          <t>7.47 mm</t>
        </is>
      </c>
    </row>
    <row r="456" ht="36" customHeight="1">
      <c r="A456" s="56" t="inlineStr">
        <is>
          <t>woodscrew_gauge_18_pilot_hole_softwood_mm</t>
        </is>
      </c>
      <c r="B456" s="57" t="inlineStr">
        <is>
          <t>5.4</t>
        </is>
      </c>
      <c r="C456" s="58" t="inlineStr">
        <is>
          <t>mm</t>
        </is>
      </c>
      <c r="D456" s="59" t="inlineStr">
        <is>
          <t>#18 pilot hole in softwood (pine, fir, cedar, spruce) — ~75% of major dia. Heavy timber.</t>
        </is>
      </c>
      <c r="E456" s="60" t="inlineStr">
        <is>
          <t>5.4 mm</t>
        </is>
      </c>
    </row>
    <row r="457" ht="36" customHeight="1">
      <c r="A457" s="56" t="inlineStr">
        <is>
          <t>woodscrew_gauge_18_pilot_hole_hardwood_mm</t>
        </is>
      </c>
      <c r="B457" s="57" t="inlineStr">
        <is>
          <t>6.0</t>
        </is>
      </c>
      <c r="C457" s="58" t="inlineStr">
        <is>
          <t>mm</t>
        </is>
      </c>
      <c r="D457" s="59" t="inlineStr">
        <is>
          <t>#18 pilot hole in hardwood (oak, maple, walnut, cherry) — ~85% of major dia. Always drill hardwood regardless of gauge. Heavy timber.</t>
        </is>
      </c>
      <c r="E457" s="60" t="inlineStr">
        <is>
          <t>6.0 mm</t>
        </is>
      </c>
    </row>
    <row r="458" ht="36" customHeight="1">
      <c r="A458" s="56" t="inlineStr">
        <is>
          <t>woodscrew_gauge_18_clearance_hole_top_board_mm</t>
        </is>
      </c>
      <c r="B458" s="57" t="inlineStr">
        <is>
          <t>7.7</t>
        </is>
      </c>
      <c r="C458" s="58" t="inlineStr">
        <is>
          <t>mm</t>
        </is>
      </c>
      <c r="D458" s="59" t="inlineStr">
        <is>
          <t>#18 clearance through-hole in top board — allows shank to pass freely so screw pulls pieces together. Major dia + 0.2-0.4 mm.</t>
        </is>
      </c>
      <c r="E458" s="60" t="inlineStr">
        <is>
          <t>7.7 mm</t>
        </is>
      </c>
    </row>
    <row r="459" ht="36" customHeight="1">
      <c r="A459" s="56" t="inlineStr">
        <is>
          <t>woodscrew_gauge_20_major_diameter_mm</t>
        </is>
      </c>
      <c r="B459" s="57" t="inlineStr">
        <is>
          <t>8.13</t>
        </is>
      </c>
      <c r="C459" s="58" t="inlineStr">
        <is>
          <t>mm</t>
        </is>
      </c>
      <c r="D459" s="59" t="inlineStr">
        <is>
          <t>#20 wood screw major thread diameter (ASME B18.6.1). Formula: 0.060 + (20×0.013) = 0.32". Structural timber. TPI=8.</t>
        </is>
      </c>
      <c r="E459" s="60" t="inlineStr">
        <is>
          <t>8.13 mm</t>
        </is>
      </c>
    </row>
    <row r="460" ht="36" customHeight="1">
      <c r="A460" s="56" t="inlineStr">
        <is>
          <t>woodscrew_gauge_20_pilot_hole_softwood_mm</t>
        </is>
      </c>
      <c r="B460" s="57" t="inlineStr">
        <is>
          <t>5.8</t>
        </is>
      </c>
      <c r="C460" s="58" t="inlineStr">
        <is>
          <t>mm</t>
        </is>
      </c>
      <c r="D460" s="59" t="inlineStr">
        <is>
          <t>#20 pilot hole in softwood (pine, fir, cedar, spruce) — ~75% of major dia. Structural timber.</t>
        </is>
      </c>
      <c r="E460" s="60" t="inlineStr">
        <is>
          <t>5.8 mm</t>
        </is>
      </c>
    </row>
    <row r="461" ht="36" customHeight="1">
      <c r="A461" s="56" t="inlineStr">
        <is>
          <t>woodscrew_gauge_20_pilot_hole_hardwood_mm</t>
        </is>
      </c>
      <c r="B461" s="57" t="inlineStr">
        <is>
          <t>6.4</t>
        </is>
      </c>
      <c r="C461" s="58" t="inlineStr">
        <is>
          <t>mm</t>
        </is>
      </c>
      <c r="D461" s="59" t="inlineStr">
        <is>
          <t>#20 pilot hole in hardwood (oak, maple, walnut, cherry) — ~85% of major dia. Always drill hardwood regardless of gauge. Structural timber.</t>
        </is>
      </c>
      <c r="E461" s="60" t="inlineStr">
        <is>
          <t>6.4 mm</t>
        </is>
      </c>
    </row>
    <row r="462" ht="36" customHeight="1">
      <c r="A462" s="56" t="inlineStr">
        <is>
          <t>woodscrew_gauge_20_clearance_hole_top_board_mm</t>
        </is>
      </c>
      <c r="B462" s="57" t="inlineStr">
        <is>
          <t>8.3</t>
        </is>
      </c>
      <c r="C462" s="58" t="inlineStr">
        <is>
          <t>mm</t>
        </is>
      </c>
      <c r="D462" s="59" t="inlineStr">
        <is>
          <t>#20 clearance through-hole in top board — allows shank to pass freely so screw pulls pieces together. Major dia + 0.2-0.4 mm.</t>
        </is>
      </c>
      <c r="E462" s="60" t="inlineStr">
        <is>
          <t>8.3 mm</t>
        </is>
      </c>
    </row>
  </sheetData>
  <mergeCells count="22">
    <mergeCell ref="A48:E48"/>
    <mergeCell ref="A60:E60"/>
    <mergeCell ref="A1:E1"/>
    <mergeCell ref="A287:E287"/>
    <mergeCell ref="A221:E221"/>
    <mergeCell ref="A317:E317"/>
    <mergeCell ref="A239:E239"/>
    <mergeCell ref="A2:E2"/>
    <mergeCell ref="A302:E302"/>
    <mergeCell ref="A278:E278"/>
    <mergeCell ref="A151:E151"/>
    <mergeCell ref="A160:E160"/>
    <mergeCell ref="A23:E23"/>
    <mergeCell ref="A14:E14"/>
    <mergeCell ref="A140:E140"/>
    <mergeCell ref="A4:E4"/>
    <mergeCell ref="A180:E180"/>
    <mergeCell ref="A125:E125"/>
    <mergeCell ref="A165:E165"/>
    <mergeCell ref="A115:E115"/>
    <mergeCell ref="A382:E382"/>
    <mergeCell ref="A249:E2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38" customWidth="1" min="5" max="5"/>
  </cols>
  <sheetData>
    <row r="1" ht="32" customHeight="1">
      <c r="A1" s="45" t="inlineStr">
        <is>
          <t>Machine Calibration Log  —  measure actuals, enter machine-specific overrides here</t>
        </is>
      </c>
    </row>
    <row r="2" ht="20" customHeight="1">
      <c r="A2" s="3" t="inlineStr">
        <is>
          <t>Parameter</t>
        </is>
      </c>
      <c r="B2" s="3" t="inlineStr">
        <is>
          <t>K3 (Annex K3)</t>
        </is>
      </c>
      <c r="C2" s="3" t="inlineStr">
        <is>
          <t>V-Core 3.1 AWD</t>
        </is>
      </c>
      <c r="D2" s="3" t="inlineStr">
        <is>
          <t>BabyBelt Pro V2.5</t>
        </is>
      </c>
      <c r="E2" s="3" t="inlineStr">
        <is>
          <t>Calibration Method / Notes</t>
        </is>
      </c>
    </row>
    <row r="3" ht="24" customHeight="1">
      <c r="A3" s="10" t="inlineStr">
        <is>
          <t>printer_accuracy_hole_shrink_compensation</t>
        </is>
      </c>
      <c r="B3" s="11" t="inlineStr">
        <is>
          <t>?</t>
        </is>
      </c>
      <c r="C3" s="11" t="inlineStr">
        <is>
          <t>?</t>
        </is>
      </c>
      <c r="D3" s="11" t="inlineStr">
        <is>
          <t>?</t>
        </is>
      </c>
      <c r="E3" s="13" t="inlineStr">
        <is>
          <t>Print 10 mm test circle. shrink = 10.0 − actual dia</t>
        </is>
      </c>
    </row>
    <row r="4" ht="24" customHeight="1">
      <c r="A4" s="15" t="inlineStr">
        <is>
          <t>printer_accuracy_outer_dimension_oversize</t>
        </is>
      </c>
      <c r="B4" s="16" t="inlineStr">
        <is>
          <t>?</t>
        </is>
      </c>
      <c r="C4" s="16" t="inlineStr">
        <is>
          <t>?</t>
        </is>
      </c>
      <c r="D4" s="16" t="inlineStr">
        <is>
          <t>?</t>
        </is>
      </c>
      <c r="E4" s="18" t="inlineStr">
        <is>
          <t>Print 20 mm calibration cube. oversize = actual − 20.0</t>
        </is>
      </c>
    </row>
    <row r="5" ht="24" customHeight="1">
      <c r="A5" s="10" t="inlineStr">
        <is>
          <t>printer_accuracy_extrusion_line_width</t>
        </is>
      </c>
      <c r="B5" s="11" t="inlineStr">
        <is>
          <t>0.45</t>
        </is>
      </c>
      <c r="C5" s="11" t="inlineStr">
        <is>
          <t>0.45</t>
        </is>
      </c>
      <c r="D5" s="11" t="inlineStr">
        <is>
          <t>0.45</t>
        </is>
      </c>
      <c r="E5" s="13" t="inlineStr">
        <is>
          <t>Remeasure after nozzle change — single-wall tower method</t>
        </is>
      </c>
    </row>
    <row r="6" ht="24" customHeight="1">
      <c r="A6" s="15" t="inlineStr">
        <is>
          <t>printer_accuracy_elephant_foot_compensation</t>
        </is>
      </c>
      <c r="B6" s="16" t="inlineStr">
        <is>
          <t>?</t>
        </is>
      </c>
      <c r="C6" s="16" t="inlineStr">
        <is>
          <t>?</t>
        </is>
      </c>
      <c r="D6" s="16" t="inlineStr">
        <is>
          <t>?</t>
        </is>
      </c>
      <c r="E6" s="18" t="inlineStr">
        <is>
          <t>Print single-layer square, measure base bulge</t>
        </is>
      </c>
    </row>
    <row r="7" ht="24" customHeight="1">
      <c r="A7" s="10" t="inlineStr">
        <is>
          <t>tolerance_fit_class_fdm_sliding_per_surface</t>
        </is>
      </c>
      <c r="B7" s="11" t="inlineStr">
        <is>
          <t>0.15</t>
        </is>
      </c>
      <c r="C7" s="11" t="inlineStr">
        <is>
          <t>0.15</t>
        </is>
      </c>
      <c r="D7" s="11" t="inlineStr">
        <is>
          <t>0.18</t>
        </is>
      </c>
      <c r="E7" s="13" t="inlineStr">
        <is>
          <t>BabyBelt: slightly more clearance due to belt-axis compliance</t>
        </is>
      </c>
    </row>
    <row r="8" ht="24" customHeight="1">
      <c r="A8" s="15" t="inlineStr">
        <is>
          <t>tolerance_fit_class_fdm_press_per_surface</t>
        </is>
      </c>
      <c r="B8" s="16" t="inlineStr">
        <is>
          <t>0.05</t>
        </is>
      </c>
      <c r="C8" s="16" t="inlineStr">
        <is>
          <t>0.05</t>
        </is>
      </c>
      <c r="D8" s="16" t="inlineStr">
        <is>
          <t>0.08</t>
        </is>
      </c>
      <c r="E8" s="18" t="inlineStr">
        <is>
          <t>BabyBelt: looser press fit due to lower frame stiffness</t>
        </is>
      </c>
    </row>
    <row r="9" ht="24" customHeight="1">
      <c r="A9" s="10" t="inlineStr">
        <is>
          <t>heatset_insert_m3_recommended_hole_id</t>
        </is>
      </c>
      <c r="B9" s="11" t="inlineStr">
        <is>
          <t>4.40</t>
        </is>
      </c>
      <c r="C9" s="11" t="inlineStr">
        <is>
          <t>4.40</t>
        </is>
      </c>
      <c r="D9" s="11" t="inlineStr">
        <is>
          <t>4.40</t>
        </is>
      </c>
      <c r="E9" s="13" t="inlineStr">
        <is>
          <t>Verify against insert batch OD with calipers — brands vary ±0.2 mm</t>
        </is>
      </c>
    </row>
    <row r="10" ht="24" customHeight="1">
      <c r="A10" s="15" t="inlineStr">
        <is>
          <t>thread_fdm_offset_face_per_flank_petg_abs</t>
        </is>
      </c>
      <c r="B10" s="16" t="inlineStr">
        <is>
          <t>-0.20</t>
        </is>
      </c>
      <c r="C10" s="16" t="inlineStr">
        <is>
          <t>-0.20</t>
        </is>
      </c>
      <c r="D10" s="16" t="inlineStr">
        <is>
          <t>-0.25</t>
        </is>
      </c>
      <c r="E10" s="18" t="inlineStr">
        <is>
          <t>BabyBelt: slightly more thread clearance</t>
        </is>
      </c>
    </row>
    <row r="11" ht="24" customHeight="1">
      <c r="A11" s="10" t="inlineStr">
        <is>
          <t>overhang_maximum_angle_high_perf_cpap</t>
        </is>
      </c>
      <c r="B11" s="11" t="inlineStr">
        <is>
          <t>70</t>
        </is>
      </c>
      <c r="C11" s="11" t="inlineStr">
        <is>
          <t>65</t>
        </is>
      </c>
      <c r="D11" s="11" t="inlineStr">
        <is>
          <t>50</t>
        </is>
      </c>
      <c r="E11" s="13" t="inlineStr">
        <is>
          <t>K3 SLM XY + CPAP = best. BabyBelt = limited cooling.</t>
        </is>
      </c>
    </row>
    <row r="12" ht="24" customHeight="1">
      <c r="A12" s="15" t="inlineStr">
        <is>
          <t>foam_dart_flywheel_gap_half_dart_standard</t>
        </is>
      </c>
      <c r="B12" s="16" t="inlineStr">
        <is>
          <t>9.00</t>
        </is>
      </c>
      <c r="C12" s="16" t="inlineStr">
        <is>
          <t>N/A</t>
        </is>
      </c>
      <c r="D12" s="16" t="inlineStr">
        <is>
          <t>N/A</t>
        </is>
      </c>
      <c r="E12" s="18" t="inlineStr">
        <is>
          <t>Tune empirically — dart compression and wheel OD dependent</t>
        </is>
      </c>
    </row>
    <row r="13" ht="24" customHeight="1">
      <c r="A13" s="10" t="inlineStr">
        <is>
          <t>motion_beacon_probe_body_total_length</t>
        </is>
      </c>
      <c r="B13" s="11" t="inlineStr">
        <is>
          <t>?</t>
        </is>
      </c>
      <c r="C13" s="11" t="inlineStr">
        <is>
          <t>?</t>
        </is>
      </c>
      <c r="D13" s="11" t="inlineStr">
        <is>
          <t>N/A</t>
        </is>
      </c>
      <c r="E13" s="13" t="inlineStr">
        <is>
          <t>Verify against your specific Beacon revision</t>
        </is>
      </c>
    </row>
    <row r="14" ht="24" customHeight="1">
      <c r="A14" s="15" t="inlineStr">
        <is>
          <t>motion_chube_hotend_collet_outer_diameter</t>
        </is>
      </c>
      <c r="B14" s="16" t="inlineStr">
        <is>
          <t>?</t>
        </is>
      </c>
      <c r="C14" s="16" t="inlineStr">
        <is>
          <t>?</t>
        </is>
      </c>
      <c r="D14" s="16" t="inlineStr">
        <is>
          <t>N/A</t>
        </is>
      </c>
      <c r="E14" s="18" t="inlineStr">
        <is>
          <t>Measure your unit with calipers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6" customWidth="1" min="3" max="3"/>
  </cols>
  <sheetData>
    <row r="1" ht="30" customHeight="1">
      <c r="A1" s="45" t="inlineStr">
        <is>
          <t>Quick Reference  —  BakedBean3D FDM Design at a Glance</t>
        </is>
      </c>
    </row>
    <row r="2" ht="20" customHeight="1">
      <c r="A2" s="3" t="inlineStr">
        <is>
          <t>SITUATION / FEATURE</t>
        </is>
      </c>
      <c r="B2" s="3" t="inlineStr">
        <is>
          <t>VALUE / OFFSET</t>
        </is>
      </c>
      <c r="C2" s="3" t="inlineStr">
        <is>
          <t>NOTES</t>
        </is>
      </c>
    </row>
    <row r="3" ht="20" customHeight="1">
      <c r="A3" s="46" t="inlineStr">
        <is>
          <t>M3 clearance through-hole</t>
        </is>
      </c>
      <c r="B3" s="11" t="inlineStr">
        <is>
          <t>3.40 mm</t>
        </is>
      </c>
      <c r="C3" s="13" t="inlineStr">
        <is>
          <t>ISO M3 = 3.0 + 0.40 FDM</t>
        </is>
      </c>
    </row>
    <row r="4" ht="20" customHeight="1">
      <c r="A4" s="47" t="inlineStr">
        <is>
          <t>M2.5 clearance (Pi/SBC standard)</t>
        </is>
      </c>
      <c r="B4" s="16" t="inlineStr">
        <is>
          <t>2.90 mm</t>
        </is>
      </c>
      <c r="C4" s="18" t="inlineStr">
        <is>
          <t>ISO M2.5 = 2.5 + 0.40 FDM</t>
        </is>
      </c>
    </row>
    <row r="5" ht="20" customHeight="1">
      <c r="A5" s="46" t="inlineStr">
        <is>
          <t>Sliding fit (lid, cover, rail)</t>
        </is>
      </c>
      <c r="B5" s="11" t="inlineStr">
        <is>
          <t>+0.30 mm total</t>
        </is>
      </c>
      <c r="C5" s="13" t="inlineStr">
        <is>
          <t>0.15 mm per mating surface</t>
        </is>
      </c>
    </row>
    <row r="6" ht="20" customHeight="1">
      <c r="A6" s="47" t="inlineStr">
        <is>
          <t>Close location fit</t>
        </is>
      </c>
      <c r="B6" s="16" t="inlineStr">
        <is>
          <t>+0.20 mm total</t>
        </is>
      </c>
      <c r="C6" s="18" t="inlineStr">
        <is>
          <t>0.10 mm per surface</t>
        </is>
      </c>
    </row>
    <row r="7" ht="20" customHeight="1">
      <c r="A7" s="46" t="inlineStr">
        <is>
          <t>Light press fit</t>
        </is>
      </c>
      <c r="B7" s="11" t="inlineStr">
        <is>
          <t>+0.10 mm total</t>
        </is>
      </c>
      <c r="C7" s="13" t="inlineStr">
        <is>
          <t>Requires deliberate force; calibrate!</t>
        </is>
      </c>
    </row>
    <row r="8" ht="20" customHeight="1">
      <c r="A8" s="47" t="inlineStr">
        <is>
          <t>Horizontal hole droop compensation</t>
        </is>
      </c>
      <c r="B8" s="16" t="inlineStr">
        <is>
          <t>+1× layer height</t>
        </is>
      </c>
      <c r="C8" s="18" t="inlineStr">
        <is>
          <t>Shift hole center up, or teardrop</t>
        </is>
      </c>
    </row>
    <row r="9" ht="20" customHeight="1">
      <c r="A9" s="46" t="inlineStr">
        <is>
          <t>Min printable hole diameter</t>
        </is>
      </c>
      <c r="B9" s="11" t="inlineStr">
        <is>
          <t>≥ 2.00 mm</t>
        </is>
      </c>
      <c r="C9" s="13" t="inlineStr">
        <is>
          <t>Below this = drill after print</t>
        </is>
      </c>
    </row>
    <row r="10" ht="20" customHeight="1">
      <c r="A10" s="48" t="inlineStr">
        <is>
          <t>── FASTENERS ────────────────────────────────────────</t>
        </is>
      </c>
      <c r="B10" s="48" t="inlineStr"/>
      <c r="C10" s="48" t="inlineStr"/>
    </row>
    <row r="11" ht="20" customHeight="1">
      <c r="A11" s="46" t="inlineStr">
        <is>
          <t>M3 button-head counterbore dia</t>
        </is>
      </c>
      <c r="B11" s="11" t="inlineStr">
        <is>
          <t>6.10 mm</t>
        </is>
      </c>
      <c r="C11" s="13" t="inlineStr">
        <is>
          <t>ISO head 5.70 + 0.40 FDM</t>
        </is>
      </c>
    </row>
    <row r="12" ht="20" customHeight="1">
      <c r="A12" s="47" t="inlineStr">
        <is>
          <t>M3 button-head counterbore depth</t>
        </is>
      </c>
      <c r="B12" s="16" t="inlineStr">
        <is>
          <t>1.95 mm</t>
        </is>
      </c>
      <c r="C12" s="18" t="inlineStr">
        <is>
          <t>ISO head 1.65 + 0.30 FDM</t>
        </is>
      </c>
    </row>
    <row r="13" ht="20" customHeight="1">
      <c r="A13" s="46" t="inlineStr">
        <is>
          <t>M3 hex nut trap (across flats)</t>
        </is>
      </c>
      <c r="B13" s="11" t="inlineStr">
        <is>
          <t>5.70 mm</t>
        </is>
      </c>
      <c r="C13" s="13" t="inlineStr">
        <is>
          <t>ISO 5.50 + 0.20 FDM</t>
        </is>
      </c>
    </row>
    <row r="14" ht="20" customHeight="1">
      <c r="A14" s="47" t="inlineStr">
        <is>
          <t>M3 hex nut trap depth</t>
        </is>
      </c>
      <c r="B14" s="16" t="inlineStr">
        <is>
          <t>2.60 mm</t>
        </is>
      </c>
      <c r="C14" s="18" t="inlineStr">
        <is>
          <t>ISO 2.40 + 0.20 FDM</t>
        </is>
      </c>
    </row>
    <row r="15" ht="20" customHeight="1">
      <c r="A15" s="46" t="inlineStr">
        <is>
          <t>M3 square nut trap</t>
        </is>
      </c>
      <c r="B15" s="11" t="inlineStr">
        <is>
          <t>5.70 × 2.00 mm</t>
        </is>
      </c>
      <c r="C15" s="13" t="inlineStr">
        <is>
          <t>ISO 5.50 × 1.80 + 0.20 FDM</t>
        </is>
      </c>
    </row>
    <row r="16" ht="20" customHeight="1">
      <c r="A16" s="47" t="inlineStr">
        <is>
          <t>M3 boss outer diameter</t>
        </is>
      </c>
      <c r="B16" s="16" t="inlineStr">
        <is>
          <t>6.40 mm</t>
        </is>
      </c>
      <c r="C16" s="18" t="inlineStr">
        <is>
          <t>Voron standard; ~1.5 mm wall</t>
        </is>
      </c>
    </row>
    <row r="17" ht="20" customHeight="1">
      <c r="A17" s="46" t="inlineStr">
        <is>
          <t>M3 heat-set insert hole</t>
        </is>
      </c>
      <c r="B17" s="11" t="inlineStr">
        <is>
          <t>4.40 mm</t>
        </is>
      </c>
      <c r="C17" s="13" t="inlineStr">
        <is>
          <t>98% of insert OD; verify per batch</t>
        </is>
      </c>
    </row>
    <row r="18" ht="20" customHeight="1">
      <c r="A18" s="47" t="inlineStr">
        <is>
          <t>ISO metric countersink angle</t>
        </is>
      </c>
      <c r="B18" s="16" t="inlineStr">
        <is>
          <t>90°</t>
        </is>
      </c>
      <c r="C18" s="18" t="inlineStr">
        <is>
          <t>NOT 82° — that is inch/UNC</t>
        </is>
      </c>
    </row>
    <row r="19" ht="20" customHeight="1">
      <c r="A19" s="48" t="inlineStr">
        <is>
          <t>── CNC ALUMINUM ─────────────────────────────────────</t>
        </is>
      </c>
      <c r="B19" s="48" t="inlineStr"/>
      <c r="C19" s="48" t="inlineStr"/>
    </row>
    <row r="20" ht="20" customHeight="1">
      <c r="A20" s="47" t="inlineStr">
        <is>
          <t>M3 tap drill in 6061-T6</t>
        </is>
      </c>
      <c r="B20" s="16" t="inlineStr">
        <is>
          <t>2.50 mm</t>
        </is>
      </c>
      <c r="C20" s="18" t="inlineStr">
        <is>
          <t>For M3×0.5 thread</t>
        </is>
      </c>
    </row>
    <row r="21" ht="20" customHeight="1">
      <c r="A21" s="46" t="inlineStr">
        <is>
          <t>M4 tap drill in 6061-T6</t>
        </is>
      </c>
      <c r="B21" s="11" t="inlineStr">
        <is>
          <t>3.30 mm</t>
        </is>
      </c>
      <c r="C21" s="13" t="inlineStr">
        <is>
          <t>For M4×0.7 thread</t>
        </is>
      </c>
    </row>
    <row r="22" ht="20" customHeight="1">
      <c r="A22" s="47" t="inlineStr">
        <is>
          <t>M5 tap drill in 6061-T6</t>
        </is>
      </c>
      <c r="B22" s="16" t="inlineStr">
        <is>
          <t>4.20 mm</t>
        </is>
      </c>
      <c r="C22" s="18" t="inlineStr">
        <is>
          <t>For M5×0.8 thread</t>
        </is>
      </c>
    </row>
    <row r="23" ht="20" customHeight="1">
      <c r="A23" s="46" t="inlineStr">
        <is>
          <t>Min thread engagement (structural)</t>
        </is>
      </c>
      <c r="B23" s="11" t="inlineStr">
        <is>
          <t>2× bolt diameter</t>
        </is>
      </c>
      <c r="C23" s="13" t="inlineStr">
        <is>
          <t>M3 structural = 6 mm minimum</t>
        </is>
      </c>
    </row>
    <row r="24" ht="20" customHeight="1">
      <c r="A24" s="47" t="inlineStr">
        <is>
          <t>Bearing seat / dowel</t>
        </is>
      </c>
      <c r="B24" s="16" t="inlineStr">
        <is>
          <t>Ream to H7</t>
        </is>
      </c>
      <c r="C24" s="18" t="inlineStr">
        <is>
          <t>FDM not reliable — drill then ream</t>
        </is>
      </c>
    </row>
    <row r="25" ht="20" customHeight="1">
      <c r="A25" s="48" t="inlineStr">
        <is>
          <t>── MAGNETS ──────────────────────────────────────────</t>
        </is>
      </c>
      <c r="B25" s="48" t="inlineStr"/>
      <c r="C25" s="48" t="inlineStr"/>
    </row>
    <row r="26" ht="20" customHeight="1">
      <c r="A26" s="47" t="inlineStr">
        <is>
          <t>Magnet press-fit pocket per side</t>
        </is>
      </c>
      <c r="B26" s="16" t="inlineStr">
        <is>
          <t>−0.10 mm</t>
        </is>
      </c>
      <c r="C26" s="18" t="inlineStr">
        <is>
          <t>Pocket smaller than magnet OD</t>
        </is>
      </c>
    </row>
    <row r="27" ht="20" customHeight="1">
      <c r="A27" s="46" t="inlineStr">
        <is>
          <t>Magnet glue-in pocket per side</t>
        </is>
      </c>
      <c r="B27" s="11" t="inlineStr">
        <is>
          <t>+0.15 mm</t>
        </is>
      </c>
      <c r="C27" s="13" t="inlineStr">
        <is>
          <t>Clearance for CA/epoxy</t>
        </is>
      </c>
    </row>
    <row r="28" ht="20" customHeight="1">
      <c r="A28" s="47" t="inlineStr">
        <is>
          <t>Warhammer base magnet (6×2 mm) pocket</t>
        </is>
      </c>
      <c r="B28" s="16" t="inlineStr">
        <is>
          <t>6.10 mm ID</t>
        </is>
      </c>
      <c r="C28" s="18" t="inlineStr">
        <is>
          <t>Glue-in; sits 0.20 mm below surface</t>
        </is>
      </c>
    </row>
    <row r="29" ht="20" customHeight="1">
      <c r="A29" s="48" t="inlineStr">
        <is>
          <t>── MOTION SYSTEM ────────────────────────────────────</t>
        </is>
      </c>
      <c r="B29" s="48" t="inlineStr"/>
      <c r="C29" s="48" t="inlineStr"/>
    </row>
    <row r="30" ht="20" customHeight="1">
      <c r="A30" s="47" t="inlineStr">
        <is>
          <t>NEMA17 bolt pattern</t>
        </is>
      </c>
      <c r="B30" s="16" t="inlineStr">
        <is>
          <t>31 mm C-C (M3)</t>
        </is>
      </c>
      <c r="C30" s="18" t="inlineStr">
        <is>
          <t>42.3 mm body, 5 mm shaft</t>
        </is>
      </c>
    </row>
    <row r="31" ht="20" customHeight="1">
      <c r="A31" s="46" t="inlineStr">
        <is>
          <t>GT2 belt tooth pitch</t>
        </is>
      </c>
      <c r="B31" s="11" t="inlineStr">
        <is>
          <t>2.00 mm</t>
        </is>
      </c>
      <c r="C31" s="13" t="inlineStr">
        <is>
          <t>Standard K3, V-Core, Voron</t>
        </is>
      </c>
    </row>
    <row r="32" ht="20" customHeight="1">
      <c r="A32" s="47" t="inlineStr">
        <is>
          <t>F695 idler bearing OD</t>
        </is>
      </c>
      <c r="B32" s="16" t="inlineStr">
        <is>
          <t>13.00 mm</t>
        </is>
      </c>
      <c r="C32" s="18" t="inlineStr">
        <is>
          <t>5 mm bore, 4 mm wide</t>
        </is>
      </c>
    </row>
    <row r="33" ht="20" customHeight="1">
      <c r="A33" s="48" t="inlineStr">
        <is>
          <t>── ELECTRONICS ──────────────────────────────────────</t>
        </is>
      </c>
      <c r="B33" s="48" t="inlineStr"/>
      <c r="C33" s="48" t="inlineStr"/>
    </row>
    <row r="34" ht="20" customHeight="1">
      <c r="A34" s="47" t="inlineStr">
        <is>
          <t>Raspberry Pi 4/5 hole pitch</t>
        </is>
      </c>
      <c r="B34" s="16" t="inlineStr">
        <is>
          <t>58 × 49 mm</t>
        </is>
      </c>
      <c r="C34" s="18" t="inlineStr">
        <is>
          <t>M2.5 fasteners</t>
        </is>
      </c>
    </row>
    <row r="35" ht="20" customHeight="1">
      <c r="A35" s="46" t="inlineStr">
        <is>
          <t>XT30 panel cutout</t>
        </is>
      </c>
      <c r="B35" s="11" t="inlineStr">
        <is>
          <t>10.50 mm ⌀</t>
        </is>
      </c>
      <c r="C35" s="13" t="inlineStr">
        <is>
          <t>For 48V Doomcube power panels</t>
        </is>
      </c>
    </row>
    <row r="36" ht="20" customHeight="1">
      <c r="A36" s="47" t="inlineStr">
        <is>
          <t>USB-C panel cutout</t>
        </is>
      </c>
      <c r="B36" s="16" t="inlineStr">
        <is>
          <t>10.0 × 4.5 mm</t>
        </is>
      </c>
      <c r="C36" s="18" t="inlineStr">
        <is>
          <t>Width × height</t>
        </is>
      </c>
    </row>
    <row r="37" ht="20" customHeight="1">
      <c r="A37" s="46" t="inlineStr">
        <is>
          <t>WAGO 221 lever nut (2-way)</t>
        </is>
      </c>
      <c r="B37" s="11" t="inlineStr">
        <is>
          <t>11 × 16 × 14 mm</t>
        </is>
      </c>
      <c r="C37" s="13" t="inlineStr">
        <is>
          <t>W × H × D</t>
        </is>
      </c>
    </row>
    <row r="38" ht="20" customHeight="1">
      <c r="A38" s="48" t="inlineStr">
        <is>
          <t>── WARHAMMER ────────────────────────────────────────</t>
        </is>
      </c>
      <c r="B38" s="48" t="inlineStr"/>
      <c r="C38" s="48" t="inlineStr"/>
    </row>
    <row r="39" ht="20" customHeight="1">
      <c r="A39" s="46" t="inlineStr">
        <is>
          <t>25 mm base slot clearance</t>
        </is>
      </c>
      <c r="B39" s="11" t="inlineStr">
        <is>
          <t>25.30 mm</t>
        </is>
      </c>
      <c r="C39" s="13" t="inlineStr">
        <is>
          <t>FDM tray slot</t>
        </is>
      </c>
    </row>
    <row r="40" ht="20" customHeight="1">
      <c r="A40" s="47" t="inlineStr">
        <is>
          <t>32 mm base slot clearance</t>
        </is>
      </c>
      <c r="B40" s="16" t="inlineStr">
        <is>
          <t>32.30 mm</t>
        </is>
      </c>
      <c r="C40" s="18" t="inlineStr">
        <is>
          <t>FDM tray slot</t>
        </is>
      </c>
    </row>
    <row r="41" ht="20" customHeight="1">
      <c r="A41" s="46" t="inlineStr">
        <is>
          <t>Flying stand post clearance hole</t>
        </is>
      </c>
      <c r="B41" s="11" t="inlineStr">
        <is>
          <t>3.20 mm</t>
        </is>
      </c>
      <c r="C41" s="13" t="inlineStr">
        <is>
          <t>3 mm post + 0.20 mm</t>
        </is>
      </c>
    </row>
    <row r="42" ht="20" customHeight="1">
      <c r="A42" s="47" t="inlineStr">
        <is>
          <t>Terrain wall (scatter)</t>
        </is>
      </c>
      <c r="B42" s="16" t="inlineStr">
        <is>
          <t>≥ 3.00 mm</t>
        </is>
      </c>
      <c r="C42" s="18" t="inlineStr">
        <is>
          <t>Below this flexes and delaminates</t>
        </is>
      </c>
    </row>
    <row r="43" ht="20" customHeight="1">
      <c r="A43" s="48" t="inlineStr">
        <is>
          <t>── FOAM DARTS ───────────────────────────────────────</t>
        </is>
      </c>
      <c r="B43" s="48" t="inlineStr"/>
      <c r="C43" s="48" t="inlineStr"/>
    </row>
    <row r="44" ht="20" customHeight="1">
      <c r="A44" s="47" t="inlineStr">
        <is>
          <t>Half-dart barrel bore (performance)</t>
        </is>
      </c>
      <c r="B44" s="16" t="inlineStr">
        <is>
          <t>13.20 mm</t>
        </is>
      </c>
      <c r="C44" s="18" t="inlineStr">
        <is>
          <t>+0.20 mm over dart OD</t>
        </is>
      </c>
    </row>
    <row r="45" ht="20" customHeight="1">
      <c r="A45" s="46" t="inlineStr">
        <is>
          <t>Half-dart barrel bore (slam-fire)</t>
        </is>
      </c>
      <c r="B45" s="11" t="inlineStr">
        <is>
          <t>13.70 mm</t>
        </is>
      </c>
      <c r="C45" s="13" t="inlineStr">
        <is>
          <t>+0.70 mm — loose for reliable feed</t>
        </is>
      </c>
    </row>
    <row r="46" ht="20" customHeight="1">
      <c r="A46" s="47" t="inlineStr">
        <is>
          <t>Flywheel gap half-dart</t>
        </is>
      </c>
      <c r="B46" s="16" t="inlineStr">
        <is>
          <t>8.5–9.5 mm</t>
        </is>
      </c>
      <c r="C46" s="18" t="inlineStr">
        <is>
          <t>Tune empirically per wheel OD</t>
        </is>
      </c>
    </row>
    <row r="47" ht="20" customHeight="1">
      <c r="A47" s="48" t="inlineStr">
        <is>
          <t>── PRINT RULES ─────────────────────────────────────</t>
        </is>
      </c>
      <c r="B47" s="48" t="inlineStr"/>
      <c r="C47" s="48" t="inlineStr"/>
    </row>
    <row r="48" ht="20" customHeight="1">
      <c r="A48" s="47" t="inlineStr">
        <is>
          <t>Structural wall (FDM)</t>
        </is>
      </c>
      <c r="B48" s="16" t="inlineStr">
        <is>
          <t>4× extrusion width</t>
        </is>
      </c>
      <c r="C48" s="18" t="inlineStr">
        <is>
          <t>~1.80 mm @ 0.45 mm EW</t>
        </is>
      </c>
    </row>
    <row r="49" ht="20" customHeight="1">
      <c r="A49" s="46" t="inlineStr">
        <is>
          <t>Max unsupported overhang</t>
        </is>
      </c>
      <c r="B49" s="11" t="inlineStr">
        <is>
          <t>50–70°</t>
        </is>
      </c>
      <c r="C49" s="13" t="inlineStr">
        <is>
          <t>Higher end = CPAP + slow outer perim</t>
        </is>
      </c>
    </row>
    <row r="50" ht="20" customHeight="1">
      <c r="A50" s="47" t="inlineStr">
        <is>
          <t>Max reliable bridge span</t>
        </is>
      </c>
      <c r="B50" s="16" t="inlineStr">
        <is>
          <t>~60 mm</t>
        </is>
      </c>
      <c r="C50" s="18" t="inlineStr">
        <is>
          <t>Tuned machine + optimized speed</t>
        </is>
      </c>
    </row>
    <row r="51" ht="20" customHeight="1">
      <c r="A51" s="46" t="inlineStr">
        <is>
          <t>Printed thread flank offset (PETG)</t>
        </is>
      </c>
      <c r="B51" s="11" t="inlineStr">
        <is>
          <t>−0.20 mm/flank</t>
        </is>
      </c>
      <c r="C51" s="13" t="inlineStr">
        <is>
          <t>Apply Offset Face to both parts</t>
        </is>
      </c>
    </row>
    <row r="53" ht="20" customHeight="1">
      <c r="A53" s="48" t="inlineStr">
        <is>
          <t>── IMPERIAL DRILL BITS → MM  (key sizes) ─────────────────────────────────</t>
        </is>
      </c>
      <c r="B53" s="48" t="inlineStr"/>
      <c r="C53" s="48" t="inlineStr"/>
    </row>
    <row r="54" ht="20" customHeight="1">
      <c r="A54" s="61" t="inlineStr">
        <is>
          <t>1/16"</t>
        </is>
      </c>
      <c r="B54" s="52" t="inlineStr">
        <is>
          <t>1.588 mm</t>
        </is>
      </c>
      <c r="C54" s="54" t="inlineStr">
        <is>
          <t>Pilot #2-#3 screws</t>
        </is>
      </c>
    </row>
    <row r="55" ht="20" customHeight="1">
      <c r="A55" s="62" t="inlineStr">
        <is>
          <t>5/64"</t>
        </is>
      </c>
      <c r="B55" s="57" t="inlineStr">
        <is>
          <t>1.984 mm</t>
        </is>
      </c>
      <c r="C55" s="59" t="inlineStr">
        <is>
          <t>Pilot #4 screws in hardwood</t>
        </is>
      </c>
    </row>
    <row r="56" ht="20" customHeight="1">
      <c r="A56" s="61" t="inlineStr">
        <is>
          <t>3/32"</t>
        </is>
      </c>
      <c r="B56" s="52" t="inlineStr">
        <is>
          <t>2.381 mm</t>
        </is>
      </c>
      <c r="C56" s="54" t="inlineStr">
        <is>
          <t>Pilot #4-#5 softwood; #6 hardwood</t>
        </is>
      </c>
    </row>
    <row r="57" ht="20" customHeight="1">
      <c r="A57" s="62" t="inlineStr">
        <is>
          <t>7/64"</t>
        </is>
      </c>
      <c r="B57" s="57" t="inlineStr">
        <is>
          <t>2.778 mm</t>
        </is>
      </c>
      <c r="C57" s="59" t="inlineStr">
        <is>
          <t>Pilot #6 softwood; #8 hardwood — very common</t>
        </is>
      </c>
    </row>
    <row r="58" ht="20" customHeight="1">
      <c r="A58" s="61" t="inlineStr">
        <is>
          <t>1/8"</t>
        </is>
      </c>
      <c r="B58" s="52" t="inlineStr">
        <is>
          <t>3.175 mm</t>
        </is>
      </c>
      <c r="C58" s="54" t="inlineStr">
        <is>
          <t>Pilot #8 softwood; #10 hardwood — most-used</t>
        </is>
      </c>
    </row>
    <row r="59" ht="20" customHeight="1">
      <c r="A59" s="62" t="inlineStr">
        <is>
          <t>9/64"</t>
        </is>
      </c>
      <c r="B59" s="57" t="inlineStr">
        <is>
          <t>3.572 mm</t>
        </is>
      </c>
      <c r="C59" s="59" t="inlineStr">
        <is>
          <t>Pilot #10 hardwood; clearance #6</t>
        </is>
      </c>
    </row>
    <row r="60" ht="20" customHeight="1">
      <c r="A60" s="61" t="inlineStr">
        <is>
          <t>5/32"</t>
        </is>
      </c>
      <c r="B60" s="52" t="inlineStr">
        <is>
          <t>3.969 mm</t>
        </is>
      </c>
      <c r="C60" s="54" t="inlineStr">
        <is>
          <t>Clearance #8; pilot #10-#12 softwood</t>
        </is>
      </c>
    </row>
    <row r="61" ht="20" customHeight="1">
      <c r="A61" s="62" t="inlineStr">
        <is>
          <t>11/64"</t>
        </is>
      </c>
      <c r="B61" s="57" t="inlineStr">
        <is>
          <t>4.366 mm</t>
        </is>
      </c>
      <c r="C61" s="59" t="inlineStr">
        <is>
          <t>Pilot #12 hardwood</t>
        </is>
      </c>
    </row>
    <row r="62" ht="20" customHeight="1">
      <c r="A62" s="61" t="inlineStr">
        <is>
          <t>3/16"</t>
        </is>
      </c>
      <c r="B62" s="52" t="inlineStr">
        <is>
          <t>4.763 mm</t>
        </is>
      </c>
      <c r="C62" s="54" t="inlineStr">
        <is>
          <t>Clearance #10; pilot #14 softwood</t>
        </is>
      </c>
    </row>
    <row r="63" ht="20" customHeight="1">
      <c r="A63" s="62" t="inlineStr">
        <is>
          <t>13/64"</t>
        </is>
      </c>
      <c r="B63" s="57" t="inlineStr">
        <is>
          <t>5.159 mm</t>
        </is>
      </c>
      <c r="C63" s="59" t="inlineStr">
        <is>
          <t>Pilot #14 hardwood; lag 1/4" softwood</t>
        </is>
      </c>
    </row>
    <row r="64" ht="20" customHeight="1">
      <c r="A64" s="61" t="inlineStr">
        <is>
          <t>7/32"</t>
        </is>
      </c>
      <c r="B64" s="52" t="inlineStr">
        <is>
          <t>5.556 mm</t>
        </is>
      </c>
      <c r="C64" s="54" t="inlineStr">
        <is>
          <t>Clearance #12; pilot 1/4" lag bolt</t>
        </is>
      </c>
    </row>
    <row r="65" ht="20" customHeight="1">
      <c r="A65" s="62" t="inlineStr">
        <is>
          <t>1/4"</t>
        </is>
      </c>
      <c r="B65" s="57" t="inlineStr">
        <is>
          <t>6.350 mm</t>
        </is>
      </c>
      <c r="C65" s="59" t="inlineStr">
        <is>
          <t>Clearance #14; pilot 5/16" lag bolt</t>
        </is>
      </c>
    </row>
    <row r="66" ht="20" customHeight="1">
      <c r="A66" s="61" t="inlineStr">
        <is>
          <t>5/16"</t>
        </is>
      </c>
      <c r="B66" s="52" t="inlineStr">
        <is>
          <t>7.938 mm</t>
        </is>
      </c>
      <c r="C66" s="54" t="inlineStr">
        <is>
          <t>Clearance 1/4" bolt; pilot 3/8" lag</t>
        </is>
      </c>
    </row>
    <row r="67" ht="20" customHeight="1">
      <c r="A67" s="62" t="inlineStr">
        <is>
          <t>3/8"</t>
        </is>
      </c>
      <c r="B67" s="57" t="inlineStr">
        <is>
          <t>9.525 mm</t>
        </is>
      </c>
      <c r="C67" s="59" t="inlineStr">
        <is>
          <t>Clearance 5/16" bolt</t>
        </is>
      </c>
    </row>
    <row r="68" ht="20" customHeight="1">
      <c r="A68" s="61" t="inlineStr">
        <is>
          <t>1/2"</t>
        </is>
      </c>
      <c r="B68" s="52" t="inlineStr">
        <is>
          <t>12.700 mm</t>
        </is>
      </c>
      <c r="C68" s="54" t="inlineStr">
        <is>
          <t>Clearance 7/16" bolt; lock mortises</t>
        </is>
      </c>
    </row>
    <row r="69" ht="20" customHeight="1">
      <c r="A69" s="62" t="inlineStr">
        <is>
          <t>3/4"</t>
        </is>
      </c>
      <c r="B69" s="57" t="inlineStr">
        <is>
          <t>19.050 mm</t>
        </is>
      </c>
      <c r="C69" s="59" t="inlineStr">
        <is>
          <t>Large boring; clearance 5/8" bolt</t>
        </is>
      </c>
    </row>
    <row r="70" ht="20" customHeight="1">
      <c r="A70" s="61" t="inlineStr">
        <is>
          <t>1"</t>
        </is>
      </c>
      <c r="B70" s="52" t="inlineStr">
        <is>
          <t>25.400 mm</t>
        </is>
      </c>
      <c r="C70" s="54" t="inlineStr">
        <is>
          <t>Lock cylinders, large clearance</t>
        </is>
      </c>
    </row>
    <row r="71" ht="20" customHeight="1">
      <c r="A71" s="48" t="inlineStr">
        <is>
          <t>── WOOD SCREW PILOT HOLES ────────────────────────────────────────────────</t>
        </is>
      </c>
      <c r="B71" s="48" t="inlineStr"/>
      <c r="C71" s="48" t="inlineStr"/>
    </row>
    <row r="72" ht="20" customHeight="1">
      <c r="A72" s="63" t="inlineStr">
        <is>
          <t>Gauge / Wood Type</t>
        </is>
      </c>
      <c r="B72" s="63" t="inlineStr">
        <is>
          <t>Softwood Pilot</t>
        </is>
      </c>
      <c r="C72" s="63" t="inlineStr">
        <is>
          <t>Hardwood Pilot</t>
        </is>
      </c>
    </row>
    <row r="73" ht="20" customHeight="1">
      <c r="A73" s="62" t="inlineStr">
        <is>
          <t>#4 screw</t>
        </is>
      </c>
      <c r="B73" s="57" t="inlineStr">
        <is>
          <t>1.8 mm (5/64")</t>
        </is>
      </c>
      <c r="C73" s="59" t="inlineStr">
        <is>
          <t>2.2 mm (3/32")</t>
        </is>
      </c>
    </row>
    <row r="74" ht="20" customHeight="1">
      <c r="A74" s="61" t="inlineStr">
        <is>
          <t>#6 screw</t>
        </is>
      </c>
      <c r="B74" s="52" t="inlineStr">
        <is>
          <t>2.2 mm (3/32")</t>
        </is>
      </c>
      <c r="C74" s="54" t="inlineStr">
        <is>
          <t>2.8 mm (7/64")</t>
        </is>
      </c>
    </row>
    <row r="75" ht="20" customHeight="1">
      <c r="A75" s="62" t="inlineStr">
        <is>
          <t>#8 screw ⭐</t>
        </is>
      </c>
      <c r="B75" s="57" t="inlineStr">
        <is>
          <t>2.8 mm (7/64")</t>
        </is>
      </c>
      <c r="C75" s="59" t="inlineStr">
        <is>
          <t>3.2 mm (1/8")</t>
        </is>
      </c>
    </row>
    <row r="76" ht="20" customHeight="1">
      <c r="A76" s="61" t="inlineStr">
        <is>
          <t>#10 screw</t>
        </is>
      </c>
      <c r="B76" s="52" t="inlineStr">
        <is>
          <t>3.2 mm (1/8")</t>
        </is>
      </c>
      <c r="C76" s="54" t="inlineStr">
        <is>
          <t>3.6 mm (9/64")</t>
        </is>
      </c>
    </row>
    <row r="77" ht="20" customHeight="1">
      <c r="A77" s="62" t="inlineStr">
        <is>
          <t>#12 screw</t>
        </is>
      </c>
      <c r="B77" s="57" t="inlineStr">
        <is>
          <t>3.6 mm (9/64")</t>
        </is>
      </c>
      <c r="C77" s="59" t="inlineStr">
        <is>
          <t>4.4 mm (11/64")</t>
        </is>
      </c>
    </row>
    <row r="78" ht="20" customHeight="1">
      <c r="A78" s="61" t="inlineStr">
        <is>
          <t>#14 screw</t>
        </is>
      </c>
      <c r="B78" s="52" t="inlineStr">
        <is>
          <t>4.4 mm (11/64")</t>
        </is>
      </c>
      <c r="C78" s="54" t="inlineStr">
        <is>
          <t>5.0 mm (13/64")</t>
        </is>
      </c>
    </row>
    <row r="79" ht="20" customHeight="1">
      <c r="A79" s="62" t="inlineStr">
        <is>
          <t>Clearance hole (top board)</t>
        </is>
      </c>
      <c r="B79" s="57" t="inlineStr">
        <is>
          <t>Major dia + 0.2–0.4 mm</t>
        </is>
      </c>
      <c r="C79" s="59" t="inlineStr">
        <is>
          <t>Same rule</t>
        </is>
      </c>
    </row>
    <row r="80" ht="20" customHeight="1">
      <c r="A80" s="61" t="inlineStr">
        <is>
          <t>US flat-head countersink angle</t>
        </is>
      </c>
      <c r="B80" s="52" t="inlineStr">
        <is>
          <t>82°</t>
        </is>
      </c>
      <c r="C80" s="54" t="inlineStr">
        <is>
          <t>NOT 90° — 90° is metric/ISO</t>
        </is>
      </c>
    </row>
    <row r="81" ht="20" customHeight="1">
      <c r="A81" s="62" t="inlineStr">
        <is>
          <t>#8 wood screw ≠ M8 bolt!</t>
        </is>
      </c>
      <c r="B81" s="57" t="inlineStr">
        <is>
          <t>#8 = 4.17 mm dia</t>
        </is>
      </c>
      <c r="C81" s="59" t="inlineStr">
        <is>
          <t>M8 = 8.0 mm — nearly 2× larger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2026-04-01T16:29:03Z</dcterms:created>
  <dcterms:modified xmlns:dcterms="http://purl.org/dc/terms/" xmlns:xsi="http://www.w3.org/2001/XMLSchema-instance" xsi:type="dcterms:W3CDTF">2026-04-03T16:54:26Z</dcterms:modified>
</cp:coreProperties>
</file>